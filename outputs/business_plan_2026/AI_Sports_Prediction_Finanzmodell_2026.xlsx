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3f3f0524548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fd14abf89047b0"/>
    <x:sheet xmlns:r="http://schemas.openxmlformats.org/officeDocument/2006/relationships" name="Assumptions" sheetId="2" r:id="Rdbbf477f13d94661"/>
    <x:sheet xmlns:r="http://schemas.openxmlformats.org/officeDocument/2006/relationships" name="Monthly_Pess" sheetId="3" r:id="Re167cfdcabc3434c"/>
    <x:sheet xmlns:r="http://schemas.openxmlformats.org/officeDocument/2006/relationships" name="Monthly_Real" sheetId="4" r:id="R935c910ad3644ca6"/>
    <x:sheet xmlns:r="http://schemas.openxmlformats.org/officeDocument/2006/relationships" name="Monthly_Opt" sheetId="5" r:id="R5df9c272a91f4806"/>
    <x:sheet xmlns:r="http://schemas.openxmlformats.org/officeDocument/2006/relationships" name="Annual_5Y" sheetId="6" r:id="R5cab5f1dbbea4861"/>
    <x:sheet xmlns:r="http://schemas.openxmlformats.org/officeDocument/2006/relationships" name="Unit_Economics" sheetId="7" r:id="R15f00736e8f94cc2"/>
    <x:sheet xmlns:r="http://schemas.openxmlformats.org/officeDocument/2006/relationships" name="Sensitivity" sheetId="8" r:id="Rde119085d53248e1"/>
    <x:sheet xmlns:r="http://schemas.openxmlformats.org/officeDocument/2006/relationships" name="Checks" sheetId="9" r:id="Rebce04311bb347ef"/>
    <x:sheet xmlns:r="http://schemas.openxmlformats.org/officeDocument/2006/relationships" name="Sources" sheetId="10" r:id="R6d4502a4e7094d2a"/>
  </x:sheets>
</x:workbook>
</file>

<file path=xl/comments1.xml><?xml version="1.0" encoding="utf-8"?>
<x:comments xmlns:x="http://schemas.openxmlformats.org/spreadsheetml/2006/main">
  <x:authors>
    <x:author>tc={AB3B4B60-5652-636C-3AFD-0F4660290A77}</x:author>
    <x:author>tc={559BBE02-B7FE-8AC1-7C47-193B22673151}</x:author>
  </x:authors>
  <x:commentList>
    <x:comment ref="D3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Quelle/Herleitung: München 490% Gewerbesteuerhebesatz; KStG §23; SolZG §4. Steuerquote ist eine Modellnäherung und durch Steuerberatung zu bestätigen.</x:t>
        </x:r>
      </x:text>
    </x:comment>
    <x:comment ref="D1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Quelle/Herleitung: IAB Europe, BVDW/OVK und Google AdSense zeigen Marktgröße bzw. Revenue-Share, nicht den erzielbaren RPM. Der RPM ist eine explizite Modellannahme.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€#,##0.0;[Red]-€#,##0.0;–"/>
    <x:numFmt numFmtId="201" formatCode="#,##0"/>
    <x:numFmt numFmtId="202" formatCode="0.0%"/>
    <x:numFmt numFmtId="203" formatCode="mmm yy"/>
    <x:numFmt numFmtId="204" formatCode="€#,##0;[Red]-€#,##0;–"/>
    <x:numFmt numFmtId="205" formatCode="0.0x"/>
    <x:numFmt numFmtId="206" formatCode="0.0 &quot;Monate&quot;"/>
    <x:numFmt numFmtId="207" formatCode="0.0"/>
    <x:numFmt numFmtId="208" formatCode="@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8737D"/>
      <x:name val="Carlito"/>
    </x:font>
    <x:font>
      <x:b/>
      <x:sz val="11"/>
      <x:color rgb="FF12263A"/>
      <x:name val="Carlito"/>
    </x:font>
    <x:font>
      <x:sz val="10"/>
      <x:color rgb="FF17212B"/>
      <x:name val="Carlito"/>
    </x:font>
    <x:font>
      <x:sz val="10"/>
      <x:color rgb="FF1E4DB7"/>
      <x:name val="Carlito"/>
    </x:font>
    <x:font>
      <x:i/>
      <x:sz val="9"/>
      <x:color rgb="FF68737D"/>
      <x:name val="Carlito"/>
    </x:font>
    <x:font>
      <x:b/>
      <x:sz val="11"/>
      <x:color rgb="FFFFFFFF"/>
      <x:name val="Carlito"/>
    </x:font>
    <x:font>
      <x:b/>
      <x:sz val="10"/>
      <x:color rgb="FF1F5A7A"/>
      <x:name val="Carlito"/>
    </x:font>
    <x:font>
      <x:sz val="10"/>
      <x:color rgb="FF16834B"/>
      <x:name val="Carlito"/>
    </x:font>
    <x:font>
      <x:b/>
      <x:sz val="10"/>
      <x:color rgb="FF17212B"/>
      <x:name val="Calibri"/>
    </x:font>
    <x:font>
      <x:sz val="10"/>
      <x:color rgb="FF17212B"/>
      <x:name val="Calibri"/>
    </x:font>
    <x:font>
      <x:i/>
      <x:sz val="10"/>
      <x:color rgb="FF17212B"/>
      <x:name val="Calibri"/>
    </x:font>
    <x:font>
      <x:b/>
      <x:sz val="18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F3F7F9"/>
      </x:patternFill>
    </x:fill>
    <x:fill>
      <x:patternFill patternType="solid">
        <x:fgColor rgb="FFDDEFF5"/>
      </x:patternFill>
    </x:fill>
    <x:fill>
      <x:patternFill patternType="solid">
        <x:fgColor rgb="FF1F5A7A"/>
      </x:patternFill>
    </x:fill>
  </x:fills>
  <x:borders count="2">
    <x:border/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203" fontId="3" fillId="4" borderId="1" xfId="0" applyNumberFormat="1" applyFont="1" applyFill="1" applyBorder="1" applyAlignment="1">
      <x:alignment horizontal="center" vertical="center" wrapText="1"/>
    </x:xf>
    <x:xf numFmtId="204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4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4" fillId="0" borderId="0" xfId="0" applyNumberFormat="1" applyFont="1" applyFill="1" applyBorder="1"/>
    <x:xf numFmtId="204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1" xfId="0" applyNumberFormat="1" applyFont="1" applyFill="1" applyBorder="1"/>
    <x:xf numFmtId="204" fontId="4" fillId="0" borderId="1" xfId="0" applyNumberFormat="1" applyFont="1" applyFill="1" applyBorder="1"/>
    <x:xf numFmtId="202" fontId="4" fillId="0" borderId="1" xfId="0" applyNumberFormat="1" applyFont="1" applyFill="1" applyBorder="1"/>
    <x:xf numFmtId="200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0" fontId="4" fillId="0" borderId="0" xfId="0" applyNumberFormat="1" applyFont="1" applyFill="1" applyBorder="1"/>
    <x:xf numFmtId="205" fontId="4" fillId="0" borderId="0" xfId="0" applyNumberFormat="1" applyFont="1" applyFill="1" applyBorder="1"/>
    <x:xf numFmtId="206" fontId="4" fillId="0" borderId="0" xfId="0" applyNumberFormat="1" applyFont="1" applyFill="1" applyBorder="1"/>
    <x:xf numFmtId="207" fontId="4" fillId="0" borderId="0" xfId="0" applyNumberFormat="1" applyFont="1" applyFill="1" applyBorder="1"/>
    <x:xf numFmtId="200" fontId="4" fillId="0" borderId="1" xfId="0" applyNumberFormat="1" applyFont="1" applyFill="1" applyBorder="1"/>
    <x:xf numFmtId="205" fontId="4" fillId="0" borderId="1" xfId="0" applyNumberFormat="1" applyFont="1" applyFill="1" applyBorder="1"/>
    <x:xf numFmtId="206" fontId="4" fillId="0" borderId="1" xfId="0" applyNumberFormat="1" applyFont="1" applyFill="1" applyBorder="1"/>
    <x:xf numFmtId="207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vertical="center"/>
    </x:xf>
    <x:xf numFmtId="205" fontId="4" fillId="0" borderId="1" xfId="0" applyNumberFormat="1" applyFont="1" applyFill="1" applyBorder="1" applyAlignment="1">
      <x:alignment vertical="center"/>
    </x:xf>
    <x:xf numFmtId="206" fontId="4" fillId="0" borderId="1" xfId="0" applyNumberFormat="1" applyFont="1" applyFill="1" applyBorder="1" applyAlignment="1">
      <x:alignment vertical="center"/>
    </x:xf>
    <x:xf numFmtId="207" fontId="4" fillId="0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208" fontId="11" fillId="0" borderId="0" xfId="0" applyNumberFormat="1" applyFont="1" applyFill="1" applyBorder="1"/>
    <x:xf numFmtId="0" fontId="11" fillId="0" borderId="1" xfId="0" applyNumberFormat="1" applyFont="1" applyFill="1" applyBorder="1" applyAlignment="1">
      <x:alignment vertical="center"/>
    </x:xf>
    <x:xf numFmtId="204" fontId="11" fillId="0" borderId="1" xfId="0" applyNumberFormat="1" applyFont="1" applyFill="1" applyBorder="1" applyAlignment="1">
      <x:alignment vertical="center"/>
    </x:xf>
    <x:xf numFmtId="201" fontId="11" fillId="0" borderId="1" xfId="0" applyNumberFormat="1" applyFont="1" applyFill="1" applyBorder="1" applyAlignment="1">
      <x:alignment vertical="center"/>
    </x:xf>
    <x:xf numFmtId="205" fontId="11" fillId="0" borderId="1" xfId="0" applyNumberFormat="1" applyFont="1" applyFill="1" applyBorder="1" applyAlignment="1">
      <x:alignment vertical="center"/>
    </x:xf>
    <x:xf numFmtId="207" fontId="11" fillId="0" borderId="1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vertical="center"/>
    </x:xf>
    <x:xf numFmtId="200" fontId="11" fillId="0" borderId="1" xfId="0" applyNumberFormat="1" applyFont="1" applyFill="1" applyBorder="1" applyAlignment="1">
      <x:alignment vertical="center"/>
    </x:xf>
    <x:xf numFmtId="202" fontId="11" fillId="0" borderId="1" xfId="0" applyNumberFormat="1" applyFont="1" applyFill="1" applyBorder="1" applyAlignment="1">
      <x:alignment vertical="center"/>
    </x:xf>
    <x:xf numFmtId="203" fontId="10" fillId="4" borderId="1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 applyAlignment="1">
      <x:alignment vertical="center"/>
    </x:xf>
    <x:xf numFmtId="204" fontId="11" fillId="4" borderId="1" xfId="0" applyNumberFormat="1" applyFont="1" applyFill="1" applyBorder="1" applyAlignment="1">
      <x:alignment vertical="center"/>
    </x:xf>
    <x:xf numFmtId="206" fontId="11" fillId="0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2E7D5B"/>
      </x:font>
      <x:fill>
        <x:patternFill patternType="solid">
          <x:bgColor rgb="FFDDF2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77cd651804d70" /><Relationship Type="http://schemas.openxmlformats.org/officeDocument/2006/relationships/theme" Target="/xl/theme/theme1.xml" Id="R8f23e3aa3fc14770" /><Relationship Type="http://schemas.openxmlformats.org/officeDocument/2006/relationships/sharedStrings" Target="/xl/sharedStrings.xml" Id="R51a5f4b7948d4dbc" /><Relationship Type="http://schemas.openxmlformats.org/officeDocument/2006/relationships/worksheet" Target="/xl/worksheets/sheet1.xml" Id="R34fd14abf89047b0" /><Relationship Type="http://schemas.openxmlformats.org/officeDocument/2006/relationships/worksheet" Target="/xl/worksheets/sheet2.xml" Id="Rdbbf477f13d94661" /><Relationship Type="http://schemas.openxmlformats.org/officeDocument/2006/relationships/worksheet" Target="/xl/worksheets/sheet3.xml" Id="Re167cfdcabc3434c" /><Relationship Type="http://schemas.openxmlformats.org/officeDocument/2006/relationships/worksheet" Target="/xl/worksheets/sheet4.xml" Id="R935c910ad3644ca6" /><Relationship Type="http://schemas.openxmlformats.org/officeDocument/2006/relationships/worksheet" Target="/xl/worksheets/sheet5.xml" Id="R5df9c272a91f4806" /><Relationship Type="http://schemas.openxmlformats.org/officeDocument/2006/relationships/worksheet" Target="/xl/worksheets/sheet6.xml" Id="R5cab5f1dbbea4861" /><Relationship Type="http://schemas.openxmlformats.org/officeDocument/2006/relationships/worksheet" Target="/xl/worksheets/sheet7.xml" Id="R15f00736e8f94cc2" /><Relationship Type="http://schemas.openxmlformats.org/officeDocument/2006/relationships/worksheet" Target="/xl/worksheets/sheet8.xml" Id="Rde119085d53248e1" /><Relationship Type="http://schemas.openxmlformats.org/officeDocument/2006/relationships/worksheet" Target="/xl/worksheets/sheet9.xml" Id="Rebce04311bb347ef" /><Relationship Type="http://schemas.openxmlformats.org/officeDocument/2006/relationships/worksheet" Target="/xl/worksheets/sheet10.xml" Id="R6d4502a4e7094d2a" /><Relationship Type="http://schemas.microsoft.com/office/2017/10/relationships/person" Target="/xl/persons/person.xml" Id="R365b4b36d6ed49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7691a07d1542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Umsatzentwicklung nach Szenario (€)</a:t>
            </a:r>
          </a:p>
        </c:rich>
      </c:tx>
    </c:title>
    <c:plotArea>
      <c:lineChart>
        <c:grouping val="standard"/>
        <c:ser>
          <c:idx val="0"/>
          <c:order val="0"/>
          <c:tx>
            <c:v>Pessimistisch</c:v>
          </c:tx>
          <c:marker>
            <c:symbol val="none"/>
          </c:marker>
          <c:cat>
            <c:strRef>
              <c:f>'Summary'!$H$5:$H$9</c:f>
              <c:strCache>
                <c:ptCount val="0"/>
              </c:strCache>
            </c:strRef>
          </c:cat>
          <c:val>
            <c:numRef>
              <c:f>'Summary'!$I$5:$I$9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Realistisch</c:v>
          </c:tx>
          <c:marker>
            <c:symbol val="none"/>
          </c:marker>
          <c:cat>
            <c:strRef>
              <c:f>'Summary'!$H$5:$H$9</c:f>
              <c:strCache>
                <c:ptCount val="0"/>
              </c:strCache>
            </c:strRef>
          </c:cat>
          <c:val>
            <c:numRef>
              <c:f>'Summary'!$J$5:$J$9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Optimistisch</c:v>
          </c:tx>
          <c:marker>
            <c:symbol val="none"/>
          </c:marker>
          <c:cat>
            <c:strRef>
              <c:f>'Summary'!$H$5:$H$9</c:f>
              <c:strCache>
                <c:ptCount val="0"/>
              </c:strCache>
            </c:strRef>
          </c:cat>
          <c:val>
            <c:numRef>
              <c:f>'Summary'!$K$5:$K$9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7691a07d1542d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Jonas Schröder" id="{93E676C2-305E-40E0-9097-D3B03BABE2E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30" dT="2026-07-20T21:15:18.785" personId="{93E676C2-305E-40E0-9097-D3B03BABE2E9}" id="{AB3B4B60-5652-636C-3AFD-0F4660290A77}">
    <xltc:text>Quelle/Herleitung: München 490% Gewerbesteuerhebesatz; KStG §23; SolZG §4. Steuerquote ist eine Modellnäherung und durch Steuerberatung zu bestätigen.</xltc:text>
  </xltc:threadedComment>
  <xltc:threadedComment ref="D16" dT="2026-07-20T21:15:18.787" personId="{93E676C2-305E-40E0-9097-D3B03BABE2E9}" id="{559BBE02-B7FE-8AC1-7C47-193B22673151}">
    <xltc:text>Quelle/Herleitung: IAB Europe, BVDW/OVK und Google AdSense zeigen Marktgröße bzw. Revenue-Share, nicht den erzielbaren RPM. Der RPM ist eine explizite Modellannahme.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05026604894b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a9ccf03d5d445d5" /><Relationship Type="http://schemas.openxmlformats.org/officeDocument/2006/relationships/vmlDrawing" Target="/xl/drawings/vmldrawing.vml" Id="R3ba3332356b640ea" /><Relationship Type="http://schemas.microsoft.com/office/2017/10/relationships/threadedComment" Target="/xl/threadedcomments/threadedcomment.xml" Id="Rfcd6a65e49ad46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21" hidden="0" customWidth="1"/>
    <x:col min="4" max="4" width="21" hidden="0" customWidth="1"/>
    <x:col min="5" max="5" width="14" hidden="0" customWidth="1"/>
    <x:col min="6" max="6" width="44" hidden="0" customWidth="1"/>
    <x:col min="7" max="7" width="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2" customHeight="1">
      <x:c r="A1" s="72" t="str">
        <x:v>AI Sports Prediction · Finanzmodell 2026–2031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61"/>
    </x:row>
    <x:row r="2" ht="26" customHeight="1">
      <x:c r="A2" s="62" t="str">
        <x:v>Interne Planung für Gründer, Steuerberatung und Versicherungen · Stand 20.07.2026 · Beträge netto, sofern nicht anders angegeben.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1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</x:row>
    <x:row r="4">
      <x:c r="A4" s="63" t="str">
        <x:v>KPI</x:v>
      </x:c>
      <x:c r="B4" s="63" t="str">
        <x:v>Pessimistisch</x:v>
      </x:c>
      <x:c r="C4" s="63" t="str">
        <x:v>Realistisch</x:v>
      </x:c>
      <x:c r="D4" s="63" t="str">
        <x:v>Optimistisch</x:v>
      </x:c>
      <x:c r="E4" s="63" t="str">
        <x:v>Einheit</x:v>
      </x:c>
      <x:c r="F4" s="63" t="str">
        <x:v>Einordnung</x:v>
      </x:c>
      <x:c r="G4" s="61"/>
      <x:c r="H4" s="64" t="str">
        <x:v>Jahr</x:v>
      </x:c>
      <x:c r="I4" s="64" t="str">
        <x:v>Pessimistisch</x:v>
      </x:c>
      <x:c r="J4" s="64" t="str">
        <x:v>Realistisch</x:v>
      </x:c>
      <x:c r="K4" s="64" t="str">
        <x:v>Optimistisch</x:v>
      </x:c>
    </x:row>
    <x:row r="5">
      <x:c r="A5" s="65" t="str">
        <x:v>Umsatz Jahr 1</x:v>
      </x:c>
      <x:c r="B5" s="66" t="n">
        <x:v>2585.0000000000005</x:v>
      </x:c>
      <x:c r="C5" s="66" t="n">
        <x:v>10863.75</x:v>
      </x:c>
      <x:c r="D5" s="66" t="n">
        <x:v>28869</x:v>
      </x:c>
      <x:c r="E5" s="65" t="str">
        <x:v>€</x:v>
      </x:c>
      <x:c r="F5" s="65" t="str">
        <x:v>Markteintritt</x:v>
      </x:c>
      <x:c r="G5" s="61"/>
      <x:c r="H5" s="61" t="str">
        <x:v>J1</x:v>
      </x:c>
      <x:c r="I5" s="61" t="n">
        <x:v>2585.0000000000005</x:v>
      </x:c>
      <x:c r="J5" s="61" t="n">
        <x:v>10863.75</x:v>
      </x:c>
      <x:c r="K5" s="61" t="n">
        <x:v>28869</x:v>
      </x:c>
    </x:row>
    <x:row r="6">
      <x:c r="A6" s="65" t="str">
        <x:v>Umsatz Jahr 3</x:v>
      </x:c>
      <x:c r="B6" s="66" t="n">
        <x:v>21750.816000000003</x:v>
      </x:c>
      <x:c r="C6" s="66" t="n">
        <x:v>119413.215</x:v>
      </x:c>
      <x:c r="D6" s="66" t="n">
        <x:v>368363.712</x:v>
      </x:c>
      <x:c r="E6" s="65" t="str">
        <x:v>€</x:v>
      </x:c>
      <x:c r="F6" s="65" t="str">
        <x:v>frühe Skalierung</x:v>
      </x:c>
      <x:c r="G6" s="61"/>
      <x:c r="H6" s="61" t="str">
        <x:v>J2</x:v>
      </x:c>
      <x:c r="I6" s="61" t="n">
        <x:v>10818.75</x:v>
      </x:c>
      <x:c r="J6" s="61" t="n">
        <x:v>51548.75</x:v>
      </x:c>
      <x:c r="K6" s="61" t="n">
        <x:v>148135</x:v>
      </x:c>
    </x:row>
    <x:row r="7">
      <x:c r="A7" s="65" t="str">
        <x:v>Umsatz Jahr 5</x:v>
      </x:c>
      <x:c r="B7" s="66" t="n">
        <x:v>46308.561388800015</x:v>
      </x:c>
      <x:c r="C7" s="66" t="n">
        <x:v>366736.9920747</x:v>
      </x:c>
      <x:c r="D7" s="66" t="n">
        <x:v>1298701.0098870003</x:v>
      </x:c>
      <x:c r="E7" s="65" t="str">
        <x:v>€</x:v>
      </x:c>
      <x:c r="F7" s="65" t="str">
        <x:v>Szenariobandbreite</x:v>
      </x:c>
      <x:c r="G7" s="61"/>
      <x:c r="H7" s="61" t="str">
        <x:v>J3</x:v>
      </x:c>
      <x:c r="I7" s="61" t="n">
        <x:v>21750.816000000003</x:v>
      </x:c>
      <x:c r="J7" s="61" t="n">
        <x:v>119413.215</x:v>
      </x:c>
      <x:c r="K7" s="61" t="n">
        <x:v>368363.712</x:v>
      </x:c>
    </x:row>
    <x:row r="8">
      <x:c r="A8" s="65" t="str">
        <x:v>EBITDA Jahr 5</x:v>
      </x:c>
      <x:c r="B8" s="66" t="n">
        <x:v>12308.561388800015</x:v>
      </x:c>
      <x:c r="C8" s="66" t="n">
        <x:v>136736.9920747</x:v>
      </x:c>
      <x:c r="D8" s="66" t="n">
        <x:v>758701.0098870003</x:v>
      </x:c>
      <x:c r="E8" s="65" t="str">
        <x:v>€</x:v>
      </x:c>
      <x:c r="F8" s="65" t="str">
        <x:v>vor Gründer-Opp.-Kosten</x:v>
      </x:c>
      <x:c r="G8" s="61"/>
      <x:c r="H8" s="61" t="str">
        <x:v>J4</x:v>
      </x:c>
      <x:c r="I8" s="61" t="n">
        <x:v>33647.010720000006</x:v>
      </x:c>
      <x:c r="J8" s="61" t="n">
        <x:v>221677.10061</x:v>
      </x:c>
      <x:c r="K8" s="61" t="n">
        <x:v>740377.83276</x:v>
      </x:c>
    </x:row>
    <x:row r="9">
      <x:c r="A9" s="65" t="str">
        <x:v>Endkunden Jahr 5</x:v>
      </x:c>
      <x:c r="B9" s="67" t="n">
        <x:v>45</x:v>
      </x:c>
      <x:c r="C9" s="67" t="n">
        <x:v>260</x:v>
      </x:c>
      <x:c r="D9" s="67" t="n">
        <x:v>650</x:v>
      </x:c>
      <x:c r="E9" s="65" t="str">
        <x:v>Anzahl</x:v>
      </x:c>
      <x:c r="F9" s="65" t="str">
        <x:v>B2B Widgets</x:v>
      </x:c>
      <x:c r="G9" s="61"/>
      <x:c r="H9" s="61" t="str">
        <x:v>J5</x:v>
      </x:c>
      <x:c r="I9" s="61" t="n">
        <x:v>46308.561388800015</x:v>
      </x:c>
      <x:c r="J9" s="61" t="n">
        <x:v>366736.9920747</x:v>
      </x:c>
      <x:c r="K9" s="61" t="n">
        <x:v>1298701.0098870003</x:v>
      </x:c>
    </x:row>
    <x:row r="10">
      <x:c r="A10" s="65" t="str">
        <x:v>Max. Liquiditätslücke M1–M24</x:v>
      </x:c>
      <x:c r="B10" s="66" t="n">
        <x:v>9397.589999999998</x:v>
      </x:c>
      <x:c r="C10" s="66" t="n">
        <x:v>4666.336977272727</x:v>
      </x:c>
      <x:c r="D10" s="66" t="n">
        <x:v>3631.1818181818185</x:v>
      </x:c>
      <x:c r="E10" s="65" t="str">
        <x:v>€</x:v>
      </x:c>
      <x:c r="F10" s="65" t="str">
        <x:v>bei 2.000 € Startcash</x:v>
      </x:c>
      <x:c r="G10" s="61"/>
      <x:c r="H10" s="61"/>
      <x:c r="I10" s="61"/>
      <x:c r="J10" s="61"/>
      <x:c r="K10" s="61"/>
    </x:row>
    <x:row r="11">
      <x:c r="A11" s="65" t="str">
        <x:v>LTV/Vollkosten-CAC</x:v>
      </x:c>
      <x:c r="B11" s="68" t="n">
        <x:v>1.6888888888888893</x:v>
      </x:c>
      <x:c r="C11" s="68" t="n">
        <x:v>6.766666666666667</x:v>
      </x:c>
      <x:c r="D11" s="68" t="n">
        <x:v>36.857142857142854</x:v>
      </x:c>
      <x:c r="E11" s="65" t="str">
        <x:v>x</x:v>
      </x:c>
      <x:c r="F11" s="65" t="str">
        <x:v>noch unvalidiert</x:v>
      </x:c>
      <x:c r="G11" s="61"/>
      <x:c r="H11" s="61"/>
      <x:c r="I11" s="61"/>
      <x:c r="J11" s="61"/>
      <x:c r="K11" s="61"/>
    </x:row>
    <x:row r="12">
      <x:c r="A12" s="65" t="str">
        <x:v>Vollkosten-CAC Payback</x:v>
      </x:c>
      <x:c r="B12" s="69" t="n">
        <x:v>19.736842105263154</x:v>
      </x:c>
      <x:c r="C12" s="69" t="n">
        <x:v>7.389162561576355</x:v>
      </x:c>
      <x:c r="D12" s="69" t="n">
        <x:v>2.7131782945736433</x:v>
      </x:c>
      <x:c r="E12" s="65" t="str">
        <x:v>Monate</x:v>
      </x:c>
      <x:c r="F12" s="65" t="str">
        <x:v>noch unvalidiert</x:v>
      </x:c>
      <x:c r="G12" s="61"/>
      <x:c r="H12" s="61"/>
      <x:c r="I12" s="61"/>
      <x:c r="J12" s="61"/>
      <x:c r="K12" s="61"/>
    </x:row>
    <x:row r="13">
      <x:c r="A13" s="61"/>
      <x:c r="B13" s="61"/>
      <x:c r="C13" s="61"/>
      <x:c r="D13" s="61"/>
      <x:c r="E13" s="61"/>
      <x:c r="F13" s="61"/>
      <x:c r="G13" s="61"/>
      <x:c r="H13" s="61"/>
      <x:c r="I13" s="61"/>
      <x:c r="J13" s="61"/>
      <x:c r="K13" s="61"/>
    </x:row>
    <x:row r="14">
      <x:c r="A14" s="61"/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</x:row>
    <x:row r="15" ht="22" customHeight="1">
      <x:c r="A15" s="70" t="str">
        <x:v>Entscheidungsvorlage</x:v>
      </x:c>
      <x:c r="B15" s="70"/>
      <x:c r="C15" s="70"/>
      <x:c r="D15" s="70"/>
      <x:c r="E15" s="70"/>
      <x:c r="F15" s="70"/>
      <x:c r="G15" s="61"/>
      <x:c r="H15" s="61"/>
      <x:c r="I15" s="61"/>
      <x:c r="J15" s="61"/>
      <x:c r="K15" s="61"/>
    </x:row>
    <x:row r="16">
      <x:c r="A16" s="65" t="str">
        <x:v>Status</x:v>
      </x:c>
      <x:c r="B16" s="71" t="str">
        <x:v>CONDITIONAL GO</x:v>
      </x:c>
      <x:c r="C16" s="65" t="str"/>
      <x:c r="D16" s="65" t="str"/>
      <x:c r="E16" s="65" t="str"/>
      <x:c r="F16" s="65" t="str">
        <x:v>Bootstrapped Validierungsphase; noch nicht investorenreif im Sinne einer Eigenkapitalrunde.</x:v>
      </x:c>
      <x:c r="G16" s="61"/>
      <x:c r="H16" s="61"/>
      <x:c r="I16" s="61"/>
      <x:c r="J16" s="61"/>
      <x:c r="K16" s="61"/>
    </x:row>
    <x:row r="17">
      <x:c r="A17" s="65" t="str">
        <x:v>90-Tage-Ziel</x:v>
      </x:c>
      <x:c r="B17" s="71" t="str">
        <x:v>3–5 zahlende Designpartner</x:v>
      </x:c>
      <x:c r="C17" s="65" t="str"/>
      <x:c r="D17" s="65" t="str"/>
      <x:c r="E17" s="65" t="str"/>
      <x:c r="F17" s="65" t="str">
        <x:v>Keine kostenlosen Absichtserklärungen als Ersatz.</x:v>
      </x:c>
      <x:c r="G17" s="61"/>
      <x:c r="H17" s="61"/>
      <x:c r="I17" s="61"/>
      <x:c r="J17" s="61"/>
      <x:c r="K17" s="61"/>
    </x:row>
    <x:row r="18">
      <x:c r="A18" s="65" t="str">
        <x:v>Liquidität</x:v>
      </x:c>
      <x:c r="B18" s="71" t="str">
        <x:v>15–25 T€ Reserve empfohlen</x:v>
      </x:c>
      <x:c r="C18" s="65" t="str"/>
      <x:c r="D18" s="65" t="str"/>
      <x:c r="E18" s="65" t="str"/>
      <x:c r="F18" s="65" t="str">
        <x:v>2 T€ Stamm-/Startkapital ist für den Risikopuffer zu knapp.</x:v>
      </x:c>
      <x:c r="G18" s="61"/>
      <x:c r="H18" s="61"/>
      <x:c r="I18" s="61"/>
      <x:c r="J18" s="61"/>
      <x:c r="K18" s="61"/>
    </x:row>
    <x:row r="19">
      <x:c r="A19" s="65" t="str">
        <x:v>Hauptbeweis</x:v>
      </x:c>
      <x:c r="B19" s="71" t="str">
        <x:v>Messbare Prognosegüte + Retention</x:v>
      </x:c>
      <x:c r="C19" s="65" t="str"/>
      <x:c r="D19" s="65" t="str"/>
      <x:c r="E19" s="65" t="str"/>
      <x:c r="F19" s="65" t="str">
        <x:v>Preprint-Status und Ergebnisse unabhängig dokumentieren.</x:v>
      </x:c>
      <x:c r="G19" s="61"/>
      <x:c r="H19" s="61"/>
      <x:c r="I19" s="61"/>
      <x:c r="J19" s="61"/>
      <x:c r="K19" s="61"/>
    </x:row>
    <x:row r="20">
      <x:c r="A20" s="65" t="str">
        <x:v>Stop-/Pivot-Signal</x:v>
      </x:c>
      <x:c r="B20" s="71" t="str">
        <x:v>&lt;2 zahlende Kunden nach 90 Tagen</x:v>
      </x:c>
      <x:c r="C20" s="65" t="str"/>
      <x:c r="D20" s="65" t="str"/>
      <x:c r="E20" s="65" t="str"/>
      <x:c r="F20" s="65" t="str">
        <x:v>Positionierung, Preis oder Zielsegment neu testen.</x:v>
      </x:c>
      <x:c r="G20" s="61"/>
      <x:c r="H20" s="61"/>
      <x:c r="I20" s="61"/>
      <x:c r="J20" s="61"/>
      <x:c r="K20" s="61"/>
    </x:row>
  </x:sheetData>
  <x:mergeCells>
    <x:mergeCell ref="A1:J1"/>
    <x:mergeCell ref="A2:J2"/>
    <x:mergeCell ref="A15:F15"/>
  </x:mergeCells>
  <x:pageMargins left="0.7" right="0.7" top="0.75" bottom="0.75" header="0.3" footer="0.3"/>
  <x:drawing xmlns:r="http://schemas.openxmlformats.org/officeDocument/2006/relationships" r:id="Rae05026604894ba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52" hidden="0" customWidth="1"/>
  </x:cols>
  <x:sheetData>
    <x:row r="1" ht="32" customHeight="1">
      <x:c r="A1" s="72" t="str">
        <x:v>Annahmen &amp; Modellparameter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 ht="26" customHeight="1">
      <x:c r="A2" s="62" t="str">
        <x:v>Blaue Schrift = editierbare Annahme. Alle Werte sind Schätzungen, sofern nicht ausdrücklich als Quelle benannt.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</x:row>
    <x:row r="4">
      <x:c r="A4" s="63" t="str">
        <x:v>Parameter</x:v>
      </x:c>
      <x:c r="B4" s="63" t="str">
        <x:v>Einheit</x:v>
      </x:c>
      <x:c r="C4" s="63" t="str">
        <x:v>Pessimistisch</x:v>
      </x:c>
      <x:c r="D4" s="63" t="str">
        <x:v>Realistisch</x:v>
      </x:c>
      <x:c r="E4" s="63" t="str">
        <x:v>Optimistisch</x:v>
      </x:c>
      <x:c r="F4" s="63" t="str">
        <x:v>Herleitung / Status</x:v>
      </x:c>
      <x:c r="G4" s="61"/>
      <x:c r="H4" s="61"/>
      <x:c r="I4" s="61"/>
      <x:c r="J4" s="61"/>
    </x:row>
    <x:row r="5">
      <x:c r="A5" s="65" t="str">
        <x:v>Starter Preis monatlich</x:v>
      </x:c>
      <x:c r="B5" s="65" t="str">
        <x:v>€/Monat</x:v>
      </x:c>
      <x:c r="C5" s="73" t="n">
        <x:v>49</x:v>
      </x:c>
      <x:c r="D5" s="73" t="n">
        <x:v>49</x:v>
      </x:c>
      <x:c r="E5" s="73" t="n">
        <x:v>49</x:v>
      </x:c>
      <x:c r="F5" s="65" t="str">
        <x:v>Festgelegtes Preismodell</x:v>
      </x:c>
      <x:c r="G5" s="61"/>
      <x:c r="H5" s="61"/>
      <x:c r="I5" s="61"/>
      <x:c r="J5" s="61"/>
    </x:row>
    <x:row r="6">
      <x:c r="A6" s="65" t="str">
        <x:v>Growth Preis monatlich</x:v>
      </x:c>
      <x:c r="B6" s="65" t="str">
        <x:v>€/Monat</x:v>
      </x:c>
      <x:c r="C6" s="73" t="n">
        <x:v>149</x:v>
      </x:c>
      <x:c r="D6" s="73" t="n">
        <x:v>149</x:v>
      </x:c>
      <x:c r="E6" s="73" t="n">
        <x:v>149</x:v>
      </x:c>
      <x:c r="F6" s="65" t="str">
        <x:v>Festgelegtes Preismodell</x:v>
      </x:c>
      <x:c r="G6" s="61"/>
      <x:c r="H6" s="61"/>
      <x:c r="I6" s="61"/>
      <x:c r="J6" s="61"/>
    </x:row>
    <x:row r="7">
      <x:c r="A7" s="65" t="str">
        <x:v>Enterprise Arbeitswert</x:v>
      </x:c>
      <x:c r="B7" s="65" t="str">
        <x:v>€/Monat</x:v>
      </x:c>
      <x:c r="C7" s="73" t="n">
        <x:v>499</x:v>
      </x:c>
      <x:c r="D7" s="73" t="n">
        <x:v>499</x:v>
      </x:c>
      <x:c r="E7" s="73" t="n">
        <x:v>499</x:v>
      </x:c>
      <x:c r="F7" s="65" t="str">
        <x:v>Schätzung; durch Angebote validieren</x:v>
      </x:c>
      <x:c r="G7" s="61"/>
      <x:c r="H7" s="61"/>
      <x:c r="I7" s="61"/>
      <x:c r="J7" s="61"/>
    </x:row>
    <x:row r="8">
      <x:c r="A8" s="65" t="str">
        <x:v>Kunden Ende M12</x:v>
      </x:c>
      <x:c r="B8" s="65" t="str">
        <x:v>Anzahl</x:v>
      </x:c>
      <x:c r="C8" s="67" t="n">
        <x:v>5</x:v>
      </x:c>
      <x:c r="D8" s="67" t="n">
        <x:v>15</x:v>
      </x:c>
      <x:c r="E8" s="67" t="n">
        <x:v>30</x:v>
      </x:c>
      <x:c r="F8" s="65" t="str">
        <x:v>Szenarioannahme</x:v>
      </x:c>
      <x:c r="G8" s="61"/>
      <x:c r="H8" s="61"/>
      <x:c r="I8" s="61"/>
      <x:c r="J8" s="61"/>
    </x:row>
    <x:row r="9">
      <x:c r="A9" s="65" t="str">
        <x:v>Kunden Ende M24</x:v>
      </x:c>
      <x:c r="B9" s="65" t="str">
        <x:v>Anzahl</x:v>
      </x:c>
      <x:c r="C9" s="67" t="n">
        <x:v>15</x:v>
      </x:c>
      <x:c r="D9" s="67" t="n">
        <x:v>50</x:v>
      </x:c>
      <x:c r="E9" s="67" t="n">
        <x:v>100</x:v>
      </x:c>
      <x:c r="F9" s="65" t="str">
        <x:v>Szenarioannahme</x:v>
      </x:c>
      <x:c r="G9" s="61"/>
      <x:c r="H9" s="61"/>
      <x:c r="I9" s="61"/>
      <x:c r="J9" s="61"/>
    </x:row>
    <x:row r="10">
      <x:c r="A10" s="65" t="str">
        <x:v>Kunden Ende Jahr 3</x:v>
      </x:c>
      <x:c r="B10" s="65" t="str">
        <x:v>Anzahl</x:v>
      </x:c>
      <x:c r="C10" s="67" t="n">
        <x:v>25</x:v>
      </x:c>
      <x:c r="D10" s="67" t="n">
        <x:v>100</x:v>
      </x:c>
      <x:c r="E10" s="67" t="n">
        <x:v>220</x:v>
      </x:c>
      <x:c r="F10" s="65" t="str">
        <x:v>Szenarioannahme</x:v>
      </x:c>
      <x:c r="G10" s="61"/>
      <x:c r="H10" s="61"/>
      <x:c r="I10" s="61"/>
      <x:c r="J10" s="61"/>
    </x:row>
    <x:row r="11">
      <x:c r="A11" s="65" t="str">
        <x:v>Kunden Ende Jahr 4</x:v>
      </x:c>
      <x:c r="B11" s="65" t="str">
        <x:v>Anzahl</x:v>
      </x:c>
      <x:c r="C11" s="67" t="n">
        <x:v>35</x:v>
      </x:c>
      <x:c r="D11" s="67" t="n">
        <x:v>170</x:v>
      </x:c>
      <x:c r="E11" s="67" t="n">
        <x:v>400</x:v>
      </x:c>
      <x:c r="F11" s="65" t="str">
        <x:v>Szenarioannahme</x:v>
      </x:c>
      <x:c r="G11" s="61"/>
      <x:c r="H11" s="61"/>
      <x:c r="I11" s="61"/>
      <x:c r="J11" s="61"/>
    </x:row>
    <x:row r="12">
      <x:c r="A12" s="65" t="str">
        <x:v>Kunden Ende Jahr 5</x:v>
      </x:c>
      <x:c r="B12" s="65" t="str">
        <x:v>Anzahl</x:v>
      </x:c>
      <x:c r="C12" s="67" t="n">
        <x:v>45</x:v>
      </x:c>
      <x:c r="D12" s="67" t="n">
        <x:v>260</x:v>
      </x:c>
      <x:c r="E12" s="67" t="n">
        <x:v>650</x:v>
      </x:c>
      <x:c r="F12" s="65" t="str">
        <x:v>Szenarioannahme</x:v>
      </x:c>
      <x:c r="G12" s="61"/>
      <x:c r="H12" s="61"/>
      <x:c r="I12" s="61"/>
      <x:c r="J12" s="61"/>
    </x:row>
    <x:row r="13">
      <x:c r="A13" s="65" t="str">
        <x:v>Pageviews Ende M12</x:v>
      </x:c>
      <x:c r="B13" s="65" t="str">
        <x:v>PV/Monat</x:v>
      </x:c>
      <x:c r="C13" s="67" t="n">
        <x:v>25000</x:v>
      </x:c>
      <x:c r="D13" s="67" t="n">
        <x:v>75000</x:v>
      </x:c>
      <x:c r="E13" s="67" t="n">
        <x:v>150000</x:v>
      </x:c>
      <x:c r="F13" s="65" t="str">
        <x:v>Schätzung; Event-Traffic nicht extrapoliert</x:v>
      </x:c>
      <x:c r="G13" s="61"/>
      <x:c r="H13" s="61"/>
      <x:c r="I13" s="61"/>
      <x:c r="J13" s="61"/>
    </x:row>
    <x:row r="14">
      <x:c r="A14" s="65" t="str">
        <x:v>Pageviews Ende M24</x:v>
      </x:c>
      <x:c r="B14" s="65" t="str">
        <x:v>PV/Monat</x:v>
      </x:c>
      <x:c r="C14" s="67" t="n">
        <x:v>60000</x:v>
      </x:c>
      <x:c r="D14" s="67" t="n">
        <x:v>250000</x:v>
      </x:c>
      <x:c r="E14" s="67" t="n">
        <x:v>700000</x:v>
      </x:c>
      <x:c r="F14" s="65" t="str">
        <x:v>Schätzung</x:v>
      </x:c>
      <x:c r="G14" s="61"/>
      <x:c r="H14" s="61"/>
      <x:c r="I14" s="61"/>
      <x:c r="J14" s="61"/>
    </x:row>
    <x:row r="15">
      <x:c r="A15" s="65" t="str">
        <x:v>Pageviews Ende Jahr 5</x:v>
      </x:c>
      <x:c r="B15" s="65" t="str">
        <x:v>PV/Monat</x:v>
      </x:c>
      <x:c r="C15" s="67" t="n">
        <x:v>200000</x:v>
      </x:c>
      <x:c r="D15" s="67" t="n">
        <x:v>1500000</x:v>
      </x:c>
      <x:c r="E15" s="67" t="n">
        <x:v>5000000</x:v>
      </x:c>
      <x:c r="F15" s="65" t="str">
        <x:v>Schätzung</x:v>
      </x:c>
      <x:c r="G15" s="61"/>
      <x:c r="H15" s="61"/>
      <x:c r="I15" s="61"/>
      <x:c r="J15" s="61"/>
    </x:row>
    <x:row r="16">
      <x:c r="A16" s="65" t="str">
        <x:v>Netto-Werbe-RPM</x:v>
      </x:c>
      <x:c r="B16" s="65" t="str">
        <x:v>€/1.000 PV</x:v>
      </x:c>
      <x:c r="C16" s="73" t="n">
        <x:v>2.5</x:v>
      </x:c>
      <x:c r="D16" s="73" t="n">
        <x:v>5</x:v>
      </x:c>
      <x:c r="E16" s="73" t="n">
        <x:v>8</x:v>
      </x:c>
      <x:c r="F16" s="65" t="str">
        <x:v>Bandbreite; realen Fill Rate/eCPM testen</x:v>
      </x:c>
      <x:c r="G16" s="61"/>
      <x:c r="H16" s="61"/>
      <x:c r="I16" s="61"/>
      <x:c r="J16" s="61"/>
    </x:row>
    <x:row r="17">
      <x:c r="A17" s="65" t="str">
        <x:v>Mix Starter</x:v>
      </x:c>
      <x:c r="B17" s="65" t="str">
        <x:v>%</x:v>
      </x:c>
      <x:c r="C17" s="74" t="n">
        <x:v>0.8</x:v>
      </x:c>
      <x:c r="D17" s="74" t="n">
        <x:v>0.65</x:v>
      </x:c>
      <x:c r="E17" s="74" t="n">
        <x:v>0.55</x:v>
      </x:c>
      <x:c r="F17" s="65" t="str">
        <x:v>Schätzung</x:v>
      </x:c>
      <x:c r="G17" s="61"/>
      <x:c r="H17" s="61"/>
      <x:c r="I17" s="61"/>
      <x:c r="J17" s="61"/>
    </x:row>
    <x:row r="18">
      <x:c r="A18" s="65" t="str">
        <x:v>Mix Growth</x:v>
      </x:c>
      <x:c r="B18" s="65" t="str">
        <x:v>%</x:v>
      </x:c>
      <x:c r="C18" s="74" t="n">
        <x:v>0.18</x:v>
      </x:c>
      <x:c r="D18" s="74" t="n">
        <x:v>0.3</x:v>
      </x:c>
      <x:c r="E18" s="74" t="n">
        <x:v>0.35</x:v>
      </x:c>
      <x:c r="F18" s="65" t="str">
        <x:v>Schätzung</x:v>
      </x:c>
      <x:c r="G18" s="61"/>
      <x:c r="H18" s="61"/>
      <x:c r="I18" s="61"/>
      <x:c r="J18" s="61"/>
    </x:row>
    <x:row r="19">
      <x:c r="A19" s="65" t="str">
        <x:v>Mix Enterprise</x:v>
      </x:c>
      <x:c r="B19" s="65" t="str">
        <x:v>%</x:v>
      </x:c>
      <x:c r="C19" s="74" t="n">
        <x:v>0.02</x:v>
      </x:c>
      <x:c r="D19" s="74" t="n">
        <x:v>0.05</x:v>
      </x:c>
      <x:c r="E19" s="74" t="n">
        <x:v>0.1</x:v>
      </x:c>
      <x:c r="F19" s="65" t="str">
        <x:v>Schätzung</x:v>
      </x:c>
      <x:c r="G19" s="61"/>
      <x:c r="H19" s="61"/>
      <x:c r="I19" s="61"/>
      <x:c r="J19" s="61"/>
    </x:row>
    <x:row r="20">
      <x:c r="A20" s="65" t="str">
        <x:v>Jährliche Vorauszahlung</x:v>
      </x:c>
      <x:c r="B20" s="65" t="str">
        <x:v>%</x:v>
      </x:c>
      <x:c r="C20" s="74" t="n">
        <x:v>0.2</x:v>
      </x:c>
      <x:c r="D20" s="74" t="n">
        <x:v>0.35</x:v>
      </x:c>
      <x:c r="E20" s="74" t="n">
        <x:v>0.5</x:v>
      </x:c>
      <x:c r="F20" s="65" t="str">
        <x:v>Schätzung</x:v>
      </x:c>
      <x:c r="G20" s="61"/>
      <x:c r="H20" s="61"/>
      <x:c r="I20" s="61"/>
      <x:c r="J20" s="61"/>
    </x:row>
    <x:row r="21">
      <x:c r="A21" s="65" t="str">
        <x:v>Monatlicher Logo-Churn</x:v>
      </x:c>
      <x:c r="B21" s="65" t="str">
        <x:v>%</x:v>
      </x:c>
      <x:c r="C21" s="74" t="n">
        <x:v>0.03</x:v>
      </x:c>
      <x:c r="D21" s="74" t="n">
        <x:v>0.02</x:v>
      </x:c>
      <x:c r="E21" s="74" t="n">
        <x:v>0.01</x:v>
      </x:c>
      <x:c r="F21" s="65" t="str">
        <x:v>Schätzung nach Mindestlaufzeit</x:v>
      </x:c>
      <x:c r="G21" s="61"/>
      <x:c r="H21" s="61"/>
      <x:c r="I21" s="61"/>
      <x:c r="J21" s="61"/>
    </x:row>
    <x:row r="22">
      <x:c r="A22" s="65" t="str">
        <x:v>Jahresverlängerung</x:v>
      </x:c>
      <x:c r="B22" s="65" t="str">
        <x:v>%</x:v>
      </x:c>
      <x:c r="C22" s="74" t="n">
        <x:v>0.7</x:v>
      </x:c>
      <x:c r="D22" s="74" t="n">
        <x:v>0.8</x:v>
      </x:c>
      <x:c r="E22" s="74" t="n">
        <x:v>0.9</x:v>
      </x:c>
      <x:c r="F22" s="65" t="str">
        <x:v>Schätzung</x:v>
      </x:c>
      <x:c r="G22" s="61"/>
      <x:c r="H22" s="61"/>
      <x:c r="I22" s="61"/>
      <x:c r="J22" s="61"/>
    </x:row>
    <x:row r="23">
      <x:c r="A23" s="65" t="str">
        <x:v>Variable Daten-/LLM-Kosten</x:v>
      </x:c>
      <x:c r="B23" s="65" t="str">
        <x:v>% Abo-Umsatz</x:v>
      </x:c>
      <x:c r="C23" s="74" t="n">
        <x:v>0</x:v>
      </x:c>
      <x:c r="D23" s="74" t="n">
        <x:v>0</x:v>
      </x:c>
      <x:c r="E23" s="74" t="n">
        <x:v>0</x:v>
      </x:c>
      <x:c r="F23" s="65" t="str">
        <x:v>Keine volumenabhängigen Kosten im Planbereich; API/Cloud stufenfix</x:v>
      </x:c>
      <x:c r="G23" s="61"/>
      <x:c r="H23" s="61"/>
      <x:c r="I23" s="61"/>
      <x:c r="J23" s="61"/>
    </x:row>
    <x:row r="24">
      <x:c r="A24" s="65" t="str">
        <x:v>Variabler Supportaufwand</x:v>
      </x:c>
      <x:c r="B24" s="65" t="str">
        <x:v>€/Kunde/Monat</x:v>
      </x:c>
      <x:c r="C24" s="73" t="n">
        <x:v>0</x:v>
      </x:c>
      <x:c r="D24" s="73" t="n">
        <x:v>0</x:v>
      </x:c>
      <x:c r="E24" s="73" t="n">
        <x:v>0</x:v>
      </x:c>
      <x:c r="F24" s="65" t="str">
        <x:v>Founder-/Personalzeit wird als fixe Personalressource geplant</x:v>
      </x:c>
      <x:c r="G24" s="61"/>
      <x:c r="H24" s="61"/>
      <x:c r="I24" s="61"/>
      <x:c r="J24" s="61"/>
    </x:row>
    <x:row r="25">
      <x:c r="A25" s="65" t="str">
        <x:v>Cash-CAC</x:v>
      </x:c>
      <x:c r="B25" s="65" t="str">
        <x:v>€/Neukunde</x:v>
      </x:c>
      <x:c r="C25" s="73" t="n">
        <x:v>600</x:v>
      </x:c>
      <x:c r="D25" s="73" t="n">
        <x:v>250</x:v>
      </x:c>
      <x:c r="E25" s="73" t="n">
        <x:v>100</x:v>
      </x:c>
      <x:c r="F25" s="65" t="str">
        <x:v>Schätzung; Founder-Outreach</x:v>
      </x:c>
      <x:c r="G25" s="61"/>
      <x:c r="H25" s="61"/>
      <x:c r="I25" s="61"/>
      <x:c r="J25" s="61"/>
    </x:row>
    <x:row r="26">
      <x:c r="A26" s="65" t="str">
        <x:v>Vollkosten-CAC</x:v>
      </x:c>
      <x:c r="B26" s="65" t="str">
        <x:v>€/Neukunde</x:v>
      </x:c>
      <x:c r="C26" s="73" t="n">
        <x:v>1500</x:v>
      </x:c>
      <x:c r="D26" s="73" t="n">
        <x:v>750</x:v>
      </x:c>
      <x:c r="E26" s="73" t="n">
        <x:v>350</x:v>
      </x:c>
      <x:c r="F26" s="65" t="str">
        <x:v>inkl. Gründerzeit; Schätzung</x:v>
      </x:c>
      <x:c r="G26" s="61"/>
      <x:c r="H26" s="61"/>
      <x:c r="I26" s="61"/>
      <x:c r="J26" s="61"/>
    </x:row>
    <x:row r="27">
      <x:c r="A27" s="65" t="str">
        <x:v>Marketingbudget M1–M24</x:v>
      </x:c>
      <x:c r="B27" s="65" t="str">
        <x:v>€/Monat</x:v>
      </x:c>
      <x:c r="C27" s="73" t="n">
        <x:v>150</x:v>
      </x:c>
      <x:c r="D27" s="73" t="n">
        <x:v>300</x:v>
      </x:c>
      <x:c r="E27" s="73" t="n">
        <x:v>600</x:v>
      </x:c>
      <x:c r="F27" s="65" t="str">
        <x:v>Schätzung</x:v>
      </x:c>
      <x:c r="G27" s="61"/>
      <x:c r="H27" s="61"/>
      <x:c r="I27" s="61"/>
      <x:c r="J27" s="61"/>
    </x:row>
    <x:row r="28">
      <x:c r="A28" s="65" t="str">
        <x:v>Gründerarbeit Schattenkosten</x:v>
      </x:c>
      <x:c r="B28" s="65" t="str">
        <x:v>€/Monat</x:v>
      </x:c>
      <x:c r="C28" s="73" t="n">
        <x:v>5196</x:v>
      </x:c>
      <x:c r="D28" s="73" t="n">
        <x:v>5196</x:v>
      </x:c>
      <x:c r="E28" s="73" t="n">
        <x:v>5196</x:v>
      </x:c>
      <x:c r="F28" s="65" t="str">
        <x:v>2 × 10 h/Woche × 4,33 × 60 €</x:v>
      </x:c>
      <x:c r="G28" s="61"/>
      <x:c r="H28" s="61"/>
      <x:c r="I28" s="61"/>
      <x:c r="J28" s="61"/>
    </x:row>
    <x:row r="29">
      <x:c r="A29" s="65" t="str">
        <x:v>Startliquidität</x:v>
      </x:c>
      <x:c r="B29" s="65" t="str">
        <x:v>€</x:v>
      </x:c>
      <x:c r="C29" s="73" t="n">
        <x:v>2000</x:v>
      </x:c>
      <x:c r="D29" s="73" t="n">
        <x:v>2000</x:v>
      </x:c>
      <x:c r="E29" s="73" t="n">
        <x:v>2000</x:v>
      </x:c>
      <x:c r="F29" s="65" t="str">
        <x:v>Angabe der Gründer</x:v>
      </x:c>
      <x:c r="G29" s="61"/>
      <x:c r="H29" s="61"/>
      <x:c r="I29" s="61"/>
      <x:c r="J29" s="61"/>
    </x:row>
    <x:row r="30">
      <x:c r="A30" s="65" t="str">
        <x:v>Steuerquote München 2026/27</x:v>
      </x:c>
      <x:c r="B30" s="65" t="str">
        <x:v>%</x:v>
      </x:c>
      <x:c r="C30" s="74" t="n">
        <x:v>0.32975</x:v>
      </x:c>
      <x:c r="D30" s="74" t="n">
        <x:v>0.32975</x:v>
      </x:c>
      <x:c r="E30" s="74" t="n">
        <x:v>0.32975</x:v>
      </x:c>
      <x:c r="F30" s="65" t="str">
        <x:v>KSt+Soli+GewSt; Modellbasis</x:v>
      </x:c>
      <x:c r="G30" s="61"/>
      <x:c r="H30" s="61"/>
      <x:c r="I30" s="61"/>
      <x:c r="J30" s="61"/>
    </x:row>
    <x:row r="31">
      <x:c r="A31" s="61"/>
      <x:c r="B31" s="61"/>
      <x:c r="C31" s="61"/>
      <x:c r="D31" s="61"/>
      <x:c r="E31" s="61"/>
      <x:c r="F31" s="61"/>
      <x:c r="G31" s="61"/>
      <x:c r="H31" s="61"/>
      <x:c r="I31" s="61"/>
      <x:c r="J31" s="61"/>
    </x:row>
    <x:row r="32">
      <x:c r="A32" s="61"/>
      <x:c r="B32" s="61"/>
      <x:c r="C32" s="61"/>
      <x:c r="D32" s="61"/>
      <x:c r="E32" s="61"/>
      <x:c r="F32" s="61"/>
      <x:c r="G32" s="61"/>
      <x:c r="H32" s="61"/>
      <x:c r="I32" s="61"/>
      <x:c r="J32" s="61"/>
    </x:row>
    <x:row r="33" ht="48" customHeight="1">
      <x:c r="A33" s="62" t="str">
        <x:v>Wesentliche Modellgrenzen: keine validierten zahlenden Kunden, unbekannte Conversion/Churn/RPM, Gründergehälter in M1–M24 = 0 € Cash, Steuerbasis München. AWS, Sportdaten-API und LLM-Betrieb werden als fixe bzw. stufenfixe Kosten geplant; variable Kosten = 0 € innerhalb des geplanten Nutzungsbereichs.</x:v>
      </x:c>
      <x:c r="B33" s="62"/>
      <x:c r="C33" s="62"/>
      <x:c r="D33" s="62"/>
      <x:c r="E33" s="62"/>
      <x:c r="F33" s="62"/>
      <x:c r="G33" s="61"/>
      <x:c r="H33" s="61"/>
      <x:c r="I33" s="61"/>
      <x:c r="J33" s="61"/>
    </x:row>
  </x:sheetData>
  <x:mergeCells>
    <x:mergeCell ref="A1:J1"/>
    <x:mergeCell ref="A2:J2"/>
    <x:mergeCell ref="A33:F33"/>
  </x:mergeCells>
  <x:pageMargins left="0.7" right="0.7" top="0.75" bottom="0.75" header="0.3" footer="0.3"/>
  <x:legacyDrawing xmlns:r="http://schemas.openxmlformats.org/officeDocument/2006/relationships" r:id="R3ba3332356b640e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 ht="32" customHeight="1">
      <x:c r="A1" s="72" t="str">
        <x:v>Monatsplanung M1–M24 · Pessimistisch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  <x:c r="W1" s="61"/>
      <x:c r="X1" s="61"/>
      <x:c r="Y1" s="61"/>
    </x:row>
    <x:row r="2" ht="26" customHeight="1">
      <x:c r="A2" s="62" t="str">
        <x:v>Planstart August 2026. Gesetzliche GuV ohne Gründergehälter; ökonomisches EBITDA zeigt die Opportunitätskosten der Gründerarbeit.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1"/>
      <x:c r="L2" s="61"/>
      <x:c r="M2" s="61"/>
      <x:c r="N2" s="61"/>
      <x:c r="O2" s="61"/>
      <x:c r="P2" s="61"/>
      <x:c r="Q2" s="61"/>
      <x:c r="R2" s="61"/>
      <x:c r="S2" s="61"/>
      <x:c r="T2" s="61"/>
      <x:c r="U2" s="61"/>
      <x:c r="V2" s="61"/>
      <x:c r="W2" s="61"/>
      <x:c r="X2" s="61"/>
      <x:c r="Y2" s="61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  <x:c r="S3" s="61"/>
      <x:c r="T3" s="61"/>
      <x:c r="U3" s="61"/>
      <x:c r="V3" s="61"/>
      <x:c r="W3" s="61"/>
      <x:c r="X3" s="61"/>
      <x:c r="Y3" s="61"/>
    </x:row>
    <x:row r="4">
      <x:c r="A4" s="63" t="str">
        <x:v>Kennzahl</x:v>
      </x:c>
      <x:c r="B4" s="75" t="n">
        <x:v>46235</x:v>
      </x:c>
      <x:c r="C4" s="75" t="n">
        <x:v>46266</x:v>
      </x:c>
      <x:c r="D4" s="75" t="n">
        <x:v>46296</x:v>
      </x:c>
      <x:c r="E4" s="75" t="n">
        <x:v>46327</x:v>
      </x:c>
      <x:c r="F4" s="75" t="n">
        <x:v>46357</x:v>
      </x:c>
      <x:c r="G4" s="75" t="n">
        <x:v>46388</x:v>
      </x:c>
      <x:c r="H4" s="75" t="n">
        <x:v>46419</x:v>
      </x:c>
      <x:c r="I4" s="75" t="n">
        <x:v>46447</x:v>
      </x:c>
      <x:c r="J4" s="75" t="n">
        <x:v>46478</x:v>
      </x:c>
      <x:c r="K4" s="75" t="n">
        <x:v>46508</x:v>
      </x:c>
      <x:c r="L4" s="75" t="n">
        <x:v>46539</x:v>
      </x:c>
      <x:c r="M4" s="75" t="n">
        <x:v>46569</x:v>
      </x:c>
      <x:c r="N4" s="75" t="n">
        <x:v>46600</x:v>
      </x:c>
      <x:c r="O4" s="75" t="n">
        <x:v>46631</x:v>
      </x:c>
      <x:c r="P4" s="75" t="n">
        <x:v>46661</x:v>
      </x:c>
      <x:c r="Q4" s="75" t="n">
        <x:v>46692</x:v>
      </x:c>
      <x:c r="R4" s="75" t="n">
        <x:v>46722</x:v>
      </x:c>
      <x:c r="S4" s="75" t="n">
        <x:v>46753</x:v>
      </x:c>
      <x:c r="T4" s="75" t="n">
        <x:v>46784</x:v>
      </x:c>
      <x:c r="U4" s="75" t="n">
        <x:v>46813</x:v>
      </x:c>
      <x:c r="V4" s="75" t="n">
        <x:v>46844</x:v>
      </x:c>
      <x:c r="W4" s="75" t="n">
        <x:v>46874</x:v>
      </x:c>
      <x:c r="X4" s="75" t="n">
        <x:v>46905</x:v>
      </x:c>
      <x:c r="Y4" s="75" t="n">
        <x:v>46935</x:v>
      </x:c>
    </x:row>
    <x:row r="5">
      <x:c r="A5" s="65" t="str">
        <x:v>Aktive B2B-Kunden</x:v>
      </x:c>
      <x:c r="B5" s="67" t="n">
        <x:v>0</x:v>
      </x:c>
      <x:c r="C5" s="67" t="n">
        <x:v>0</x:v>
      </x:c>
      <x:c r="D5" s="67" t="n">
        <x:v>0.5</x:v>
      </x:c>
      <x:c r="E5" s="67" t="n">
        <x:v>1</x:v>
      </x:c>
      <x:c r="F5" s="67" t="n">
        <x:v>1.5</x:v>
      </x:c>
      <x:c r="G5" s="67" t="n">
        <x:v>2</x:v>
      </x:c>
      <x:c r="H5" s="67" t="n">
        <x:v>2.5</x:v>
      </x:c>
      <x:c r="I5" s="67" t="n">
        <x:v>3</x:v>
      </x:c>
      <x:c r="J5" s="67" t="n">
        <x:v>3.5</x:v>
      </x:c>
      <x:c r="K5" s="67" t="n">
        <x:v>4</x:v>
      </x:c>
      <x:c r="L5" s="67" t="n">
        <x:v>4.5</x:v>
      </x:c>
      <x:c r="M5" s="67" t="n">
        <x:v>5</x:v>
      </x:c>
      <x:c r="N5" s="67" t="n">
        <x:v>5.833333333333333</x:v>
      </x:c>
      <x:c r="O5" s="67" t="n">
        <x:v>6.666666666666667</x:v>
      </x:c>
      <x:c r="P5" s="67" t="n">
        <x:v>7.5</x:v>
      </x:c>
      <x:c r="Q5" s="67" t="n">
        <x:v>8.333333333333334</x:v>
      </x:c>
      <x:c r="R5" s="67" t="n">
        <x:v>9.166666666666668</x:v>
      </x:c>
      <x:c r="S5" s="67" t="n">
        <x:v>10</x:v>
      </x:c>
      <x:c r="T5" s="67" t="n">
        <x:v>10.833333333333332</x:v>
      </x:c>
      <x:c r="U5" s="67" t="n">
        <x:v>11.666666666666668</x:v>
      </x:c>
      <x:c r="V5" s="67" t="n">
        <x:v>12.5</x:v>
      </x:c>
      <x:c r="W5" s="67" t="n">
        <x:v>13.333333333333334</x:v>
      </x:c>
      <x:c r="X5" s="67" t="n">
        <x:v>14.166666666666666</x:v>
      </x:c>
      <x:c r="Y5" s="67" t="n">
        <x:v>15</x:v>
      </x:c>
    </x:row>
    <x:row r="6">
      <x:c r="A6" s="65" t="str">
        <x:v>Neukunden brutto</x:v>
      </x:c>
      <x:c r="B6" s="67" t="n">
        <x:v>0</x:v>
      </x:c>
      <x:c r="C6" s="67" t="n">
        <x:v>0</x:v>
      </x:c>
      <x:c r="D6" s="67" t="n">
        <x:v>0.5</x:v>
      </x:c>
      <x:c r="E6" s="67" t="n">
        <x:v>0.515</x:v>
      </x:c>
      <x:c r="F6" s="67" t="n">
        <x:v>0.53</x:v>
      </x:c>
      <x:c r="G6" s="67" t="n">
        <x:v>0.545</x:v>
      </x:c>
      <x:c r="H6" s="67" t="n">
        <x:v>0.56</x:v>
      </x:c>
      <x:c r="I6" s="67" t="n">
        <x:v>0.575</x:v>
      </x:c>
      <x:c r="J6" s="67" t="n">
        <x:v>0.59</x:v>
      </x:c>
      <x:c r="K6" s="67" t="n">
        <x:v>0.605</x:v>
      </x:c>
      <x:c r="L6" s="67" t="n">
        <x:v>0.62</x:v>
      </x:c>
      <x:c r="M6" s="67" t="n">
        <x:v>0.635</x:v>
      </x:c>
      <x:c r="N6" s="67" t="n">
        <x:v>0.9833333333333331</x:v>
      </x:c>
      <x:c r="O6" s="67" t="n">
        <x:v>1.008333333333334</x:v>
      </x:c>
      <x:c r="P6" s="67" t="n">
        <x:v>1.033333333333333</x:v>
      </x:c>
      <x:c r="Q6" s="67" t="n">
        <x:v>1.058333333333334</x:v>
      </x:c>
      <x:c r="R6" s="67" t="n">
        <x:v>1.083333333333334</x:v>
      </x:c>
      <x:c r="S6" s="67" t="n">
        <x:v>1.108333333333332</x:v>
      </x:c>
      <x:c r="T6" s="67" t="n">
        <x:v>1.1333333333333322</x:v>
      </x:c>
      <x:c r="U6" s="67" t="n">
        <x:v>1.1583333333333357</x:v>
      </x:c>
      <x:c r="V6" s="67" t="n">
        <x:v>1.1833333333333322</x:v>
      </x:c>
      <x:c r="W6" s="67" t="n">
        <x:v>1.208333333333334</x:v>
      </x:c>
      <x:c r="X6" s="67" t="n">
        <x:v>1.233333333333332</x:v>
      </x:c>
      <x:c r="Y6" s="67" t="n">
        <x:v>1.258333333333334</x:v>
      </x:c>
    </x:row>
    <x:row r="7">
      <x:c r="A7" s="65" t="str">
        <x:v>Abgewanderte Kunden</x:v>
      </x:c>
      <x:c r="B7" s="67" t="n">
        <x:v>0</x:v>
      </x:c>
      <x:c r="C7" s="67" t="n">
        <x:v>0</x:v>
      </x:c>
      <x:c r="D7" s="67" t="n">
        <x:v>0</x:v>
      </x:c>
      <x:c r="E7" s="67" t="n">
        <x:v>0.015</x:v>
      </x:c>
      <x:c r="F7" s="67" t="n">
        <x:v>0.03</x:v>
      </x:c>
      <x:c r="G7" s="67" t="n">
        <x:v>0.045</x:v>
      </x:c>
      <x:c r="H7" s="67" t="n">
        <x:v>0.06</x:v>
      </x:c>
      <x:c r="I7" s="67" t="n">
        <x:v>0.075</x:v>
      </x:c>
      <x:c r="J7" s="67" t="n">
        <x:v>0.09</x:v>
      </x:c>
      <x:c r="K7" s="67" t="n">
        <x:v>0.105</x:v>
      </x:c>
      <x:c r="L7" s="67" t="n">
        <x:v>0.12</x:v>
      </x:c>
      <x:c r="M7" s="67" t="n">
        <x:v>0.135</x:v>
      </x:c>
      <x:c r="N7" s="67" t="n">
        <x:v>0.15</x:v>
      </x:c>
      <x:c r="O7" s="67" t="n">
        <x:v>0.175</x:v>
      </x:c>
      <x:c r="P7" s="67" t="n">
        <x:v>0.2</x:v>
      </x:c>
      <x:c r="Q7" s="67" t="n">
        <x:v>0.22499999999999998</x:v>
      </x:c>
      <x:c r="R7" s="67" t="n">
        <x:v>0.25</x:v>
      </x:c>
      <x:c r="S7" s="67" t="n">
        <x:v>0.275</x:v>
      </x:c>
      <x:c r="T7" s="67" t="n">
        <x:v>0.3</x:v>
      </x:c>
      <x:c r="U7" s="67" t="n">
        <x:v>0.32499999999999996</x:v>
      </x:c>
      <x:c r="V7" s="67" t="n">
        <x:v>0.35000000000000003</x:v>
      </x:c>
      <x:c r="W7" s="67" t="n">
        <x:v>0.375</x:v>
      </x:c>
      <x:c r="X7" s="67" t="n">
        <x:v>0.4</x:v>
      </x:c>
      <x:c r="Y7" s="67" t="n">
        <x:v>0.425</x:v>
      </x:c>
    </x:row>
    <x:row r="8">
      <x:c r="A8" s="65" t="str">
        <x:v>Pageviews</x:v>
      </x:c>
      <x:c r="B8" s="67" t="n">
        <x:v>8000</x:v>
      </x:c>
      <x:c r="C8" s="67" t="n">
        <x:v>9545.454545454546</x:v>
      </x:c>
      <x:c r="D8" s="67" t="n">
        <x:v>11090.909090909092</x:v>
      </x:c>
      <x:c r="E8" s="67" t="n">
        <x:v>12636.363636363636</x:v>
      </x:c>
      <x:c r="F8" s="67" t="n">
        <x:v>14181.818181818182</x:v>
      </x:c>
      <x:c r="G8" s="67" t="n">
        <x:v>15727.272727272728</x:v>
      </x:c>
      <x:c r="H8" s="67" t="n">
        <x:v>17272.727272727272</x:v>
      </x:c>
      <x:c r="I8" s="67" t="n">
        <x:v>18818.181818181816</x:v>
      </x:c>
      <x:c r="J8" s="67" t="n">
        <x:v>20363.636363636364</x:v>
      </x:c>
      <x:c r="K8" s="67" t="n">
        <x:v>21909.09090909091</x:v>
      </x:c>
      <x:c r="L8" s="67" t="n">
        <x:v>23454.545454545456</x:v>
      </x:c>
      <x:c r="M8" s="67" t="n">
        <x:v>25000</x:v>
      </x:c>
      <x:c r="N8" s="67" t="n">
        <x:v>27916.666666666668</x:v>
      </x:c>
      <x:c r="O8" s="67" t="n">
        <x:v>30833.333333333332</x:v>
      </x:c>
      <x:c r="P8" s="67" t="n">
        <x:v>33750</x:v>
      </x:c>
      <x:c r="Q8" s="67" t="n">
        <x:v>36666.666666666664</x:v>
      </x:c>
      <x:c r="R8" s="67" t="n">
        <x:v>39583.333333333336</x:v>
      </x:c>
      <x:c r="S8" s="67" t="n">
        <x:v>42500</x:v>
      </x:c>
      <x:c r="T8" s="67" t="n">
        <x:v>45416.66666666667</x:v>
      </x:c>
      <x:c r="U8" s="67" t="n">
        <x:v>48333.33333333333</x:v>
      </x:c>
      <x:c r="V8" s="67" t="n">
        <x:v>51250</x:v>
      </x:c>
      <x:c r="W8" s="67" t="n">
        <x:v>54166.66666666667</x:v>
      </x:c>
      <x:c r="X8" s="67" t="n">
        <x:v>57083.33333333333</x:v>
      </x:c>
      <x:c r="Y8" s="67" t="n">
        <x:v>60000</x:v>
      </x:c>
    </x:row>
    <x:row r="9">
      <x:c r="A9" s="65" t="str">
        <x:v>Blended MRR/Kunde</x:v>
      </x:c>
      <x:c r="B9" s="66" t="n">
        <x:v>76.00000000000001</x:v>
      </x:c>
      <x:c r="C9" s="66" t="n">
        <x:v>76.00000000000001</x:v>
      </x:c>
      <x:c r="D9" s="66" t="n">
        <x:v>76.00000000000001</x:v>
      </x:c>
      <x:c r="E9" s="66" t="n">
        <x:v>76.00000000000001</x:v>
      </x:c>
      <x:c r="F9" s="66" t="n">
        <x:v>76.00000000000001</x:v>
      </x:c>
      <x:c r="G9" s="66" t="n">
        <x:v>76.00000000000001</x:v>
      </x:c>
      <x:c r="H9" s="66" t="n">
        <x:v>76.00000000000001</x:v>
      </x:c>
      <x:c r="I9" s="66" t="n">
        <x:v>76.00000000000001</x:v>
      </x:c>
      <x:c r="J9" s="66" t="n">
        <x:v>76.00000000000001</x:v>
      </x:c>
      <x:c r="K9" s="66" t="n">
        <x:v>76.00000000000001</x:v>
      </x:c>
      <x:c r="L9" s="66" t="n">
        <x:v>76.00000000000001</x:v>
      </x:c>
      <x:c r="M9" s="66" t="n">
        <x:v>76.00000000000001</x:v>
      </x:c>
      <x:c r="N9" s="66" t="n">
        <x:v>76.00000000000001</x:v>
      </x:c>
      <x:c r="O9" s="66" t="n">
        <x:v>76.00000000000001</x:v>
      </x:c>
      <x:c r="P9" s="66" t="n">
        <x:v>76.00000000000001</x:v>
      </x:c>
      <x:c r="Q9" s="66" t="n">
        <x:v>76.00000000000001</x:v>
      </x:c>
      <x:c r="R9" s="66" t="n">
        <x:v>76.00000000000001</x:v>
      </x:c>
      <x:c r="S9" s="66" t="n">
        <x:v>76.00000000000001</x:v>
      </x:c>
      <x:c r="T9" s="66" t="n">
        <x:v>76.00000000000001</x:v>
      </x:c>
      <x:c r="U9" s="66" t="n">
        <x:v>76.00000000000001</x:v>
      </x:c>
      <x:c r="V9" s="66" t="n">
        <x:v>76.00000000000001</x:v>
      </x:c>
      <x:c r="W9" s="66" t="n">
        <x:v>76.00000000000001</x:v>
      </x:c>
      <x:c r="X9" s="66" t="n">
        <x:v>76.00000000000001</x:v>
      </x:c>
      <x:c r="Y9" s="66" t="n">
        <x:v>76.00000000000001</x:v>
      </x:c>
    </x:row>
    <x:row r="10">
      <x:c r="A10" s="65" t="str">
        <x:v>Abo-Umsatz</x:v>
      </x:c>
      <x:c r="B10" s="66" t="n">
        <x:v>0</x:v>
      </x:c>
      <x:c r="C10" s="66" t="n">
        <x:v>0</x:v>
      </x:c>
      <x:c r="D10" s="66" t="n">
        <x:v>38.00000000000001</x:v>
      </x:c>
      <x:c r="E10" s="66" t="n">
        <x:v>76.00000000000001</x:v>
      </x:c>
      <x:c r="F10" s="66" t="n">
        <x:v>114.00000000000003</x:v>
      </x:c>
      <x:c r="G10" s="66" t="n">
        <x:v>152.00000000000003</x:v>
      </x:c>
      <x:c r="H10" s="66" t="n">
        <x:v>190.00000000000003</x:v>
      </x:c>
      <x:c r="I10" s="66" t="n">
        <x:v>228.00000000000006</x:v>
      </x:c>
      <x:c r="J10" s="66" t="n">
        <x:v>266.00000000000006</x:v>
      </x:c>
      <x:c r="K10" s="66" t="n">
        <x:v>304.00000000000006</x:v>
      </x:c>
      <x:c r="L10" s="66" t="n">
        <x:v>342.00000000000006</x:v>
      </x:c>
      <x:c r="M10" s="66" t="n">
        <x:v>380.00000000000006</x:v>
      </x:c>
      <x:c r="N10" s="66" t="n">
        <x:v>443.33333333333337</x:v>
      </x:c>
      <x:c r="O10" s="66" t="n">
        <x:v>506.6666666666668</x:v>
      </x:c>
      <x:c r="P10" s="66" t="n">
        <x:v>570.0000000000001</x:v>
      </x:c>
      <x:c r="Q10" s="66" t="n">
        <x:v>633.3333333333335</x:v>
      </x:c>
      <x:c r="R10" s="66" t="n">
        <x:v>696.6666666666669</x:v>
      </x:c>
      <x:c r="S10" s="66" t="n">
        <x:v>760.0000000000001</x:v>
      </x:c>
      <x:c r="T10" s="66" t="n">
        <x:v>823.3333333333334</x:v>
      </x:c>
      <x:c r="U10" s="66" t="n">
        <x:v>886.666666666667</x:v>
      </x:c>
      <x:c r="V10" s="66" t="n">
        <x:v>950.0000000000002</x:v>
      </x:c>
      <x:c r="W10" s="66" t="n">
        <x:v>1013.3333333333336</x:v>
      </x:c>
      <x:c r="X10" s="66" t="n">
        <x:v>1076.6666666666667</x:v>
      </x:c>
      <x:c r="Y10" s="66" t="n">
        <x:v>1140.0000000000002</x:v>
      </x:c>
    </x:row>
    <x:row r="11">
      <x:c r="A11" s="65" t="str">
        <x:v>Werbeumsatz</x:v>
      </x:c>
      <x:c r="B11" s="66" t="n">
        <x:v>20</x:v>
      </x:c>
      <x:c r="C11" s="66" t="n">
        <x:v>23.863636363636367</x:v>
      </x:c>
      <x:c r="D11" s="66" t="n">
        <x:v>27.72727272727273</x:v>
      </x:c>
      <x:c r="E11" s="66" t="n">
        <x:v>31.590909090909093</x:v>
      </x:c>
      <x:c r="F11" s="66" t="n">
        <x:v>35.45454545454545</x:v>
      </x:c>
      <x:c r="G11" s="66" t="n">
        <x:v>39.31818181818182</x:v>
      </x:c>
      <x:c r="H11" s="66" t="n">
        <x:v>43.18181818181819</x:v>
      </x:c>
      <x:c r="I11" s="66" t="n">
        <x:v>47.04545454545454</x:v>
      </x:c>
      <x:c r="J11" s="66" t="n">
        <x:v>50.90909090909091</x:v>
      </x:c>
      <x:c r="K11" s="66" t="n">
        <x:v>54.77272727272727</x:v>
      </x:c>
      <x:c r="L11" s="66" t="n">
        <x:v>58.63636363636364</x:v>
      </x:c>
      <x:c r="M11" s="66" t="n">
        <x:v>62.5</x:v>
      </x:c>
      <x:c r="N11" s="66" t="n">
        <x:v>69.79166666666667</x:v>
      </x:c>
      <x:c r="O11" s="66" t="n">
        <x:v>77.08333333333333</x:v>
      </x:c>
      <x:c r="P11" s="66" t="n">
        <x:v>84.375</x:v>
      </x:c>
      <x:c r="Q11" s="66" t="n">
        <x:v>91.66666666666666</x:v>
      </x:c>
      <x:c r="R11" s="66" t="n">
        <x:v>98.95833333333334</x:v>
      </x:c>
      <x:c r="S11" s="66" t="n">
        <x:v>106.25</x:v>
      </x:c>
      <x:c r="T11" s="66" t="n">
        <x:v>113.54166666666669</x:v>
      </x:c>
      <x:c r="U11" s="66" t="n">
        <x:v>120.83333333333331</x:v>
      </x:c>
      <x:c r="V11" s="66" t="n">
        <x:v>128.125</x:v>
      </x:c>
      <x:c r="W11" s="66" t="n">
        <x:v>135.41666666666669</x:v>
      </x:c>
      <x:c r="X11" s="66" t="n">
        <x:v>142.70833333333331</x:v>
      </x:c>
      <x:c r="Y11" s="66" t="n">
        <x:v>150</x:v>
      </x:c>
    </x:row>
    <x:row r="12">
      <x:c r="A12" s="65" t="str">
        <x:v>Gesamtumsatz</x:v>
      </x:c>
      <x:c r="B12" s="66" t="n">
        <x:v>20</x:v>
      </x:c>
      <x:c r="C12" s="66" t="n">
        <x:v>23.863636363636367</x:v>
      </x:c>
      <x:c r="D12" s="66" t="n">
        <x:v>65.72727272727273</x:v>
      </x:c>
      <x:c r="E12" s="66" t="n">
        <x:v>107.59090909090911</x:v>
      </x:c>
      <x:c r="F12" s="66" t="n">
        <x:v>149.4545454545455</x:v>
      </x:c>
      <x:c r="G12" s="66" t="n">
        <x:v>191.31818181818184</x:v>
      </x:c>
      <x:c r="H12" s="66" t="n">
        <x:v>233.18181818181822</x:v>
      </x:c>
      <x:c r="I12" s="66" t="n">
        <x:v>275.0454545454546</x:v>
      </x:c>
      <x:c r="J12" s="66" t="n">
        <x:v>316.909090909091</x:v>
      </x:c>
      <x:c r="K12" s="66" t="n">
        <x:v>358.7727272727273</x:v>
      </x:c>
      <x:c r="L12" s="66" t="n">
        <x:v>400.6363636363637</x:v>
      </x:c>
      <x:c r="M12" s="66" t="n">
        <x:v>442.50000000000006</x:v>
      </x:c>
      <x:c r="N12" s="66" t="n">
        <x:v>513.125</x:v>
      </x:c>
      <x:c r="O12" s="66" t="n">
        <x:v>583.7500000000001</x:v>
      </x:c>
      <x:c r="P12" s="66" t="n">
        <x:v>654.3750000000001</x:v>
      </x:c>
      <x:c r="Q12" s="66" t="n">
        <x:v>725.0000000000001</x:v>
      </x:c>
      <x:c r="R12" s="66" t="n">
        <x:v>795.6250000000002</x:v>
      </x:c>
      <x:c r="S12" s="66" t="n">
        <x:v>866.2500000000001</x:v>
      </x:c>
      <x:c r="T12" s="66" t="n">
        <x:v>936.875</x:v>
      </x:c>
      <x:c r="U12" s="66" t="n">
        <x:v>1007.5000000000002</x:v>
      </x:c>
      <x:c r="V12" s="66" t="n">
        <x:v>1078.1250000000002</x:v>
      </x:c>
      <x:c r="W12" s="66" t="n">
        <x:v>1148.7500000000002</x:v>
      </x:c>
      <x:c r="X12" s="66" t="n">
        <x:v>1219.375</x:v>
      </x:c>
      <x:c r="Y12" s="66" t="n">
        <x:v>1290.0000000000002</x:v>
      </x:c>
    </x:row>
    <x:row r="13">
      <x:c r="A13" s="65" t="str">
        <x:v>Variable Kosten</x:v>
      </x:c>
      <x:c r="B13" s="66" t="n">
        <x:v>0</x:v>
      </x:c>
      <x:c r="C13" s="66" t="n">
        <x:v>0</x:v>
      </x:c>
      <x:c r="D13" s="66" t="n">
        <x:v>0</x:v>
      </x:c>
      <x:c r="E13" s="66" t="n">
        <x:v>0</x:v>
      </x:c>
      <x:c r="F13" s="66" t="n">
        <x:v>0</x:v>
      </x:c>
      <x:c r="G13" s="66" t="n">
        <x:v>0</x:v>
      </x:c>
      <x:c r="H13" s="66" t="n">
        <x:v>0</x:v>
      </x:c>
      <x:c r="I13" s="66" t="n">
        <x:v>0</x:v>
      </x:c>
      <x:c r="J13" s="66" t="n">
        <x:v>0</x:v>
      </x:c>
      <x:c r="K13" s="66" t="n">
        <x:v>0</x:v>
      </x:c>
      <x:c r="L13" s="66" t="n">
        <x:v>0</x:v>
      </x:c>
      <x:c r="M13" s="66" t="n">
        <x:v>0</x:v>
      </x:c>
      <x:c r="N13" s="66" t="n">
        <x:v>0</x:v>
      </x:c>
      <x:c r="O13" s="66" t="n">
        <x:v>0</x:v>
      </x:c>
      <x:c r="P13" s="66" t="n">
        <x:v>0</x:v>
      </x:c>
      <x:c r="Q13" s="66" t="n">
        <x:v>0</x:v>
      </x:c>
      <x:c r="R13" s="66" t="n">
        <x:v>0</x:v>
      </x:c>
      <x:c r="S13" s="66" t="n">
        <x:v>0</x:v>
      </x:c>
      <x:c r="T13" s="66" t="n">
        <x:v>0</x:v>
      </x:c>
      <x:c r="U13" s="66" t="n">
        <x:v>0</x:v>
      </x:c>
      <x:c r="V13" s="66" t="n">
        <x:v>0</x:v>
      </x:c>
      <x:c r="W13" s="66" t="n">
        <x:v>0</x:v>
      </x:c>
      <x:c r="X13" s="66" t="n">
        <x:v>0</x:v>
      </x:c>
      <x:c r="Y13" s="66" t="n">
        <x:v>0</x:v>
      </x:c>
    </x:row>
    <x:row r="14">
      <x:c r="A14" s="76" t="str">
        <x:v>Rohertrag</x:v>
      </x:c>
      <x:c r="B14" s="77" t="n">
        <x:f>B12-B13</x:f>
        <x:v>20</x:v>
      </x:c>
      <x:c r="C14" s="77" t="n">
        <x:f>C12-C13</x:f>
        <x:v>23.863636363636367</x:v>
      </x:c>
      <x:c r="D14" s="77" t="n">
        <x:f>D12-D13</x:f>
        <x:v>65.72727272727273</x:v>
      </x:c>
      <x:c r="E14" s="77" t="n">
        <x:f>E12-E13</x:f>
        <x:v>107.59090909090911</x:v>
      </x:c>
      <x:c r="F14" s="77" t="n">
        <x:f>F12-F13</x:f>
        <x:v>149.4545454545455</x:v>
      </x:c>
      <x:c r="G14" s="77" t="n">
        <x:f>G12-G13</x:f>
        <x:v>191.31818181818184</x:v>
      </x:c>
      <x:c r="H14" s="77" t="n">
        <x:f>H12-H13</x:f>
        <x:v>233.18181818181822</x:v>
      </x:c>
      <x:c r="I14" s="77" t="n">
        <x:f>I12-I13</x:f>
        <x:v>275.0454545454546</x:v>
      </x:c>
      <x:c r="J14" s="77" t="n">
        <x:f>J12-J13</x:f>
        <x:v>316.909090909091</x:v>
      </x:c>
      <x:c r="K14" s="77" t="n">
        <x:f>K12-K13</x:f>
        <x:v>358.7727272727273</x:v>
      </x:c>
      <x:c r="L14" s="77" t="n">
        <x:f>L12-L13</x:f>
        <x:v>400.6363636363637</x:v>
      </x:c>
      <x:c r="M14" s="77" t="n">
        <x:f>M12-M13</x:f>
        <x:v>442.50000000000006</x:v>
      </x:c>
      <x:c r="N14" s="77" t="n">
        <x:f>N12-N13</x:f>
        <x:v>513.125</x:v>
      </x:c>
      <x:c r="O14" s="77" t="n">
        <x:f>O12-O13</x:f>
        <x:v>583.7500000000001</x:v>
      </x:c>
      <x:c r="P14" s="77" t="n">
        <x:f>P12-P13</x:f>
        <x:v>654.3750000000001</x:v>
      </x:c>
      <x:c r="Q14" s="77" t="n">
        <x:f>Q12-Q13</x:f>
        <x:v>725.0000000000001</x:v>
      </x:c>
      <x:c r="R14" s="77" t="n">
        <x:f>R12-R13</x:f>
        <x:v>795.6250000000002</x:v>
      </x:c>
      <x:c r="S14" s="77" t="n">
        <x:f>S12-S13</x:f>
        <x:v>866.2500000000001</x:v>
      </x:c>
      <x:c r="T14" s="77" t="n">
        <x:f>T12-T13</x:f>
        <x:v>936.875</x:v>
      </x:c>
      <x:c r="U14" s="77" t="n">
        <x:f>U12-U13</x:f>
        <x:v>1007.5000000000002</x:v>
      </x:c>
      <x:c r="V14" s="77" t="n">
        <x:f>V12-V13</x:f>
        <x:v>1078.1250000000002</x:v>
      </x:c>
      <x:c r="W14" s="77" t="n">
        <x:f>W12-W13</x:f>
        <x:v>1148.7500000000002</x:v>
      </x:c>
      <x:c r="X14" s="77" t="n">
        <x:f>X12-X13</x:f>
        <x:v>1219.375</x:v>
      </x:c>
      <x:c r="Y14" s="77" t="n">
        <x:f>Y12-Y13</x:f>
        <x:v>1290.0000000000002</x:v>
      </x:c>
    </x:row>
    <x:row r="15">
      <x:c r="A15" s="65" t="str">
        <x:v>Bruttomarge</x:v>
      </x:c>
      <x:c r="B15" s="74" t="n">
        <x:f>IF(B12=0,0,B14/B12)</x:f>
        <x:v>1</x:v>
      </x:c>
      <x:c r="C15" s="74" t="n">
        <x:f>IF(C12=0,0,C14/C12)</x:f>
        <x:v>1</x:v>
      </x:c>
      <x:c r="D15" s="74" t="n">
        <x:f>IF(D12=0,0,D14/D12)</x:f>
        <x:v>1</x:v>
      </x:c>
      <x:c r="E15" s="74" t="n">
        <x:f>IF(E12=0,0,E14/E12)</x:f>
        <x:v>1</x:v>
      </x:c>
      <x:c r="F15" s="74" t="n">
        <x:f>IF(F12=0,0,F14/F12)</x:f>
        <x:v>1</x:v>
      </x:c>
      <x:c r="G15" s="74" t="n">
        <x:f>IF(G12=0,0,G14/G12)</x:f>
        <x:v>1</x:v>
      </x:c>
      <x:c r="H15" s="74" t="n">
        <x:f>IF(H12=0,0,H14/H12)</x:f>
        <x:v>1</x:v>
      </x:c>
      <x:c r="I15" s="74" t="n">
        <x:f>IF(I12=0,0,I14/I12)</x:f>
        <x:v>1</x:v>
      </x:c>
      <x:c r="J15" s="74" t="n">
        <x:f>IF(J12=0,0,J14/J12)</x:f>
        <x:v>1</x:v>
      </x:c>
      <x:c r="K15" s="74" t="n">
        <x:f>IF(K12=0,0,K14/K12)</x:f>
        <x:v>1</x:v>
      </x:c>
      <x:c r="L15" s="74" t="n">
        <x:f>IF(L12=0,0,L14/L12)</x:f>
        <x:v>1</x:v>
      </x:c>
      <x:c r="M15" s="74" t="n">
        <x:f>IF(M12=0,0,M14/M12)</x:f>
        <x:v>1</x:v>
      </x:c>
      <x:c r="N15" s="74" t="n">
        <x:f>IF(N12=0,0,N14/N12)</x:f>
        <x:v>1</x:v>
      </x:c>
      <x:c r="O15" s="74" t="n">
        <x:f>IF(O12=0,0,O14/O12)</x:f>
        <x:v>1</x:v>
      </x:c>
      <x:c r="P15" s="74" t="n">
        <x:f>IF(P12=0,0,P14/P12)</x:f>
        <x:v>1</x:v>
      </x:c>
      <x:c r="Q15" s="74" t="n">
        <x:f>IF(Q12=0,0,Q14/Q12)</x:f>
        <x:v>1</x:v>
      </x:c>
      <x:c r="R15" s="74" t="n">
        <x:f>IF(R12=0,0,R14/R12)</x:f>
        <x:v>1</x:v>
      </x:c>
      <x:c r="S15" s="74" t="n">
        <x:f>IF(S12=0,0,S14/S12)</x:f>
        <x:v>1</x:v>
      </x:c>
      <x:c r="T15" s="74" t="n">
        <x:f>IF(T12=0,0,T14/T12)</x:f>
        <x:v>1</x:v>
      </x:c>
      <x:c r="U15" s="74" t="n">
        <x:f>IF(U12=0,0,U14/U12)</x:f>
        <x:v>1</x:v>
      </x:c>
      <x:c r="V15" s="74" t="n">
        <x:f>IF(V12=0,0,V14/V12)</x:f>
        <x:v>1</x:v>
      </x:c>
      <x:c r="W15" s="74" t="n">
        <x:f>IF(W12=0,0,W14/W12)</x:f>
        <x:v>1</x:v>
      </x:c>
      <x:c r="X15" s="74" t="n">
        <x:f>IF(X12=0,0,X14/X12)</x:f>
        <x:v>1</x:v>
      </x:c>
      <x:c r="Y15" s="74" t="n">
        <x:f>IF(Y12=0,0,Y14/Y12)</x:f>
        <x:v>1</x:v>
      </x:c>
    </x:row>
    <x:row r="16">
      <x:c r="A16" s="65" t="str">
        <x:v>Fixkosten</x:v>
      </x:c>
      <x:c r="B16" s="66" t="n">
        <x:v>635</x:v>
      </x:c>
      <x:c r="C16" s="66" t="n">
        <x:v>785</x:v>
      </x:c>
      <x:c r="D16" s="66" t="n">
        <x:v>785</x:v>
      </x:c>
      <x:c r="E16" s="66" t="n">
        <x:v>785</x:v>
      </x:c>
      <x:c r="F16" s="66" t="n">
        <x:v>785</x:v>
      </x:c>
      <x:c r="G16" s="66" t="n">
        <x:v>785</x:v>
      </x:c>
      <x:c r="H16" s="66" t="n">
        <x:v>785</x:v>
      </x:c>
      <x:c r="I16" s="66" t="n">
        <x:v>785</x:v>
      </x:c>
      <x:c r="J16" s="66" t="n">
        <x:v>785</x:v>
      </x:c>
      <x:c r="K16" s="66" t="n">
        <x:v>785</x:v>
      </x:c>
      <x:c r="L16" s="66" t="n">
        <x:v>785</x:v>
      </x:c>
      <x:c r="M16" s="66" t="n">
        <x:v>785</x:v>
      </x:c>
      <x:c r="N16" s="66" t="n">
        <x:v>785</x:v>
      </x:c>
      <x:c r="O16" s="66" t="n">
        <x:v>785</x:v>
      </x:c>
      <x:c r="P16" s="66" t="n">
        <x:v>785</x:v>
      </x:c>
      <x:c r="Q16" s="66" t="n">
        <x:v>785</x:v>
      </x:c>
      <x:c r="R16" s="66" t="n">
        <x:v>785</x:v>
      </x:c>
      <x:c r="S16" s="66" t="n">
        <x:v>785</x:v>
      </x:c>
      <x:c r="T16" s="66" t="n">
        <x:v>785</x:v>
      </x:c>
      <x:c r="U16" s="66" t="n">
        <x:v>785</x:v>
      </x:c>
      <x:c r="V16" s="66" t="n">
        <x:v>785</x:v>
      </x:c>
      <x:c r="W16" s="66" t="n">
        <x:v>785</x:v>
      </x:c>
      <x:c r="X16" s="66" t="n">
        <x:v>785</x:v>
      </x:c>
      <x:c r="Y16" s="66" t="n">
        <x:v>785</x:v>
      </x:c>
    </x:row>
    <x:row r="17">
      <x:c r="A17" s="65" t="str">
        <x:v>Einmalkosten</x:v>
      </x:c>
      <x:c r="B17" s="66" t="n">
        <x:v>1500</x:v>
      </x:c>
      <x:c r="C17" s="66" t="n">
        <x:v>1200</x:v>
      </x:c>
      <x:c r="D17" s="66" t="n">
        <x:v>1000</x:v>
      </x:c>
      <x:c r="E17" s="66" t="n">
        <x:v>0</x:v>
      </x:c>
      <x:c r="F17" s="66" t="n">
        <x:v>0</x:v>
      </x:c>
      <x:c r="G17" s="66" t="n">
        <x:v>0</x:v>
      </x:c>
      <x:c r="H17" s="66" t="n">
        <x:v>0</x:v>
      </x:c>
      <x:c r="I17" s="66" t="n">
        <x:v>0</x:v>
      </x:c>
      <x:c r="J17" s="66" t="n">
        <x:v>0</x:v>
      </x:c>
      <x:c r="K17" s="66" t="n">
        <x:v>0</x:v>
      </x:c>
      <x:c r="L17" s="66" t="n">
        <x:v>0</x:v>
      </x:c>
      <x:c r="M17" s="66" t="n">
        <x:v>0</x:v>
      </x:c>
      <x:c r="N17" s="66" t="n">
        <x:v>0</x:v>
      </x:c>
      <x:c r="O17" s="66" t="n">
        <x:v>0</x:v>
      </x:c>
      <x:c r="P17" s="66" t="n">
        <x:v>0</x:v>
      </x:c>
      <x:c r="Q17" s="66" t="n">
        <x:v>0</x:v>
      </x:c>
      <x:c r="R17" s="66" t="n">
        <x:v>0</x:v>
      </x:c>
      <x:c r="S17" s="66" t="n">
        <x:v>0</x:v>
      </x:c>
      <x:c r="T17" s="66" t="n">
        <x:v>0</x:v>
      </x:c>
      <x:c r="U17" s="66" t="n">
        <x:v>0</x:v>
      </x:c>
      <x:c r="V17" s="66" t="n">
        <x:v>0</x:v>
      </x:c>
      <x:c r="W17" s="66" t="n">
        <x:v>0</x:v>
      </x:c>
      <x:c r="X17" s="66" t="n">
        <x:v>0</x:v>
      </x:c>
      <x:c r="Y17" s="66" t="n">
        <x:v>0</x:v>
      </x:c>
    </x:row>
    <x:row r="18">
      <x:c r="A18" s="65" t="str">
        <x:v>EBITDA</x:v>
      </x:c>
      <x:c r="B18" s="65" t="n">
        <x:v>-2115</x:v>
      </x:c>
      <x:c r="C18" s="65" t="n">
        <x:v>-1961.1363636363635</x:v>
      </x:c>
      <x:c r="D18" s="65" t="n">
        <x:v>-1719.2727272727273</x:v>
      </x:c>
      <x:c r="E18" s="65" t="n">
        <x:v>-677.4090909090909</x:v>
      </x:c>
      <x:c r="F18" s="65" t="n">
        <x:v>-635.5454545454545</x:v>
      </x:c>
      <x:c r="G18" s="65" t="n">
        <x:v>-593.6818181818181</x:v>
      </x:c>
      <x:c r="H18" s="65" t="n">
        <x:v>-551.8181818181818</x:v>
      </x:c>
      <x:c r="I18" s="65" t="n">
        <x:v>-509.9545454545454</x:v>
      </x:c>
      <x:c r="J18" s="65" t="n">
        <x:v>-468.090909090909</x:v>
      </x:c>
      <x:c r="K18" s="65" t="n">
        <x:v>-426.2272727272727</x:v>
      </x:c>
      <x:c r="L18" s="65" t="n">
        <x:v>-384.3636363636363</x:v>
      </x:c>
      <x:c r="M18" s="65" t="n">
        <x:v>-342.49999999999994</x:v>
      </x:c>
      <x:c r="N18" s="65" t="n">
        <x:v>-271.875</x:v>
      </x:c>
      <x:c r="O18" s="65" t="n">
        <x:v>-201.2499999999999</x:v>
      </x:c>
      <x:c r="P18" s="65" t="n">
        <x:v>-130.6249999999999</x:v>
      </x:c>
      <x:c r="Q18" s="65" t="n">
        <x:v>-59.999999999999886</x:v>
      </x:c>
      <x:c r="R18" s="65" t="n">
        <x:v>10.625000000000227</x:v>
      </x:c>
      <x:c r="S18" s="65" t="n">
        <x:v>81.25000000000011</x:v>
      </x:c>
      <x:c r="T18" s="65" t="n">
        <x:v>151.875</x:v>
      </x:c>
      <x:c r="U18" s="65" t="n">
        <x:v>222.50000000000023</x:v>
      </x:c>
      <x:c r="V18" s="65" t="n">
        <x:v>293.1250000000002</x:v>
      </x:c>
      <x:c r="W18" s="65" t="n">
        <x:v>363.7500000000002</x:v>
      </x:c>
      <x:c r="X18" s="65" t="n">
        <x:v>434.375</x:v>
      </x:c>
      <x:c r="Y18" s="65" t="n">
        <x:v>505.0000000000002</x:v>
      </x:c>
    </x:row>
    <x:row r="19">
      <x:c r="A19" s="76" t="str">
        <x:v>EBITDA-Marge</x:v>
      </x:c>
      <x:c r="B19" s="77" t="n">
        <x:f>B12-B13-B16-B17</x:f>
        <x:v>-2115</x:v>
      </x:c>
      <x:c r="C19" s="77" t="n">
        <x:f>C12-C13-C16-C17</x:f>
        <x:v>-1961.1363636363635</x:v>
      </x:c>
      <x:c r="D19" s="77" t="n">
        <x:f>D12-D13-D16-D17</x:f>
        <x:v>-1719.2727272727273</x:v>
      </x:c>
      <x:c r="E19" s="77" t="n">
        <x:f>E12-E13-E16-E17</x:f>
        <x:v>-677.4090909090909</x:v>
      </x:c>
      <x:c r="F19" s="77" t="n">
        <x:f>F12-F13-F16-F17</x:f>
        <x:v>-635.5454545454545</x:v>
      </x:c>
      <x:c r="G19" s="77" t="n">
        <x:f>G12-G13-G16-G17</x:f>
        <x:v>-593.6818181818181</x:v>
      </x:c>
      <x:c r="H19" s="77" t="n">
        <x:f>H12-H13-H16-H17</x:f>
        <x:v>-551.8181818181818</x:v>
      </x:c>
      <x:c r="I19" s="77" t="n">
        <x:f>I12-I13-I16-I17</x:f>
        <x:v>-509.9545454545454</x:v>
      </x:c>
      <x:c r="J19" s="77" t="n">
        <x:f>J12-J13-J16-J17</x:f>
        <x:v>-468.090909090909</x:v>
      </x:c>
      <x:c r="K19" s="77" t="n">
        <x:f>K12-K13-K16-K17</x:f>
        <x:v>-426.2272727272727</x:v>
      </x:c>
      <x:c r="L19" s="77" t="n">
        <x:f>L12-L13-L16-L17</x:f>
        <x:v>-384.3636363636363</x:v>
      </x:c>
      <x:c r="M19" s="77" t="n">
        <x:f>M12-M13-M16-M17</x:f>
        <x:v>-342.49999999999994</x:v>
      </x:c>
      <x:c r="N19" s="77" t="n">
        <x:f>N12-N13-N16-N17</x:f>
        <x:v>-271.875</x:v>
      </x:c>
      <x:c r="O19" s="77" t="n">
        <x:f>O12-O13-O16-O17</x:f>
        <x:v>-201.2499999999999</x:v>
      </x:c>
      <x:c r="P19" s="77" t="n">
        <x:f>P12-P13-P16-P17</x:f>
        <x:v>-130.6249999999999</x:v>
      </x:c>
      <x:c r="Q19" s="77" t="n">
        <x:f>Q12-Q13-Q16-Q17</x:f>
        <x:v>-59.999999999999886</x:v>
      </x:c>
      <x:c r="R19" s="77" t="n">
        <x:f>R12-R13-R16-R17</x:f>
        <x:v>10.625000000000227</x:v>
      </x:c>
      <x:c r="S19" s="77" t="n">
        <x:f>S12-S13-S16-S17</x:f>
        <x:v>81.25000000000011</x:v>
      </x:c>
      <x:c r="T19" s="77" t="n">
        <x:f>T12-T13-T16-T17</x:f>
        <x:v>151.875</x:v>
      </x:c>
      <x:c r="U19" s="77" t="n">
        <x:f>U12-U13-U16-U17</x:f>
        <x:v>222.50000000000023</x:v>
      </x:c>
      <x:c r="V19" s="77" t="n">
        <x:f>V12-V13-V16-V17</x:f>
        <x:v>293.1250000000002</x:v>
      </x:c>
      <x:c r="W19" s="77" t="n">
        <x:f>W12-W13-W16-W17</x:f>
        <x:v>363.7500000000002</x:v>
      </x:c>
      <x:c r="X19" s="77" t="n">
        <x:f>X12-X13-X16-X17</x:f>
        <x:v>434.375</x:v>
      </x:c>
      <x:c r="Y19" s="77" t="n">
        <x:f>Y12-Y13-Y16-Y17</x:f>
        <x:v>505.0000000000002</x:v>
      </x:c>
    </x:row>
    <x:row r="20">
      <x:c r="A20" s="65" t="str">
        <x:v>Abschreibungen</x:v>
      </x:c>
      <x:c r="B20" s="74" t="n">
        <x:f>IF(B12=0,0,B19/B12)</x:f>
        <x:v>-105.75</x:v>
      </x:c>
      <x:c r="C20" s="74" t="n">
        <x:f>IF(C12=0,0,C19/C12)</x:f>
        <x:v>-82.18095238095236</x:v>
      </x:c>
      <x:c r="D20" s="74" t="n">
        <x:f>IF(D12=0,0,D19/D12)</x:f>
        <x:v>-26.157676348547714</x:v>
      </x:c>
      <x:c r="E20" s="74" t="n">
        <x:f>IF(E12=0,0,E19/E12)</x:f>
        <x:v>-6.296155471060413</x:v>
      </x:c>
      <x:c r="F20" s="74" t="n">
        <x:f>IF(F12=0,0,F19/F12)</x:f>
        <x:v>-4.252433090024329</x:v>
      </x:c>
      <x:c r="G20" s="74" t="n">
        <x:f>IF(G12=0,0,G19/G12)</x:f>
        <x:v>-3.1031123782371104</x:v>
      </x:c>
      <x:c r="H20" s="74" t="n">
        <x:f>IF(H12=0,0,H19/H12)</x:f>
        <x:v>-2.366471734892787</x:v>
      </x:c>
      <x:c r="I20" s="74" t="n">
        <x:f>IF(I12=0,0,I19/I12)</x:f>
        <x:v>-1.8540737068253175</x:v>
      </x:c>
      <x:c r="J20" s="74" t="n">
        <x:f>IF(J12=0,0,J19/J12)</x:f>
        <x:v>-1.4770510613884102</x:v>
      </x:c>
      <x:c r="K20" s="74" t="n">
        <x:f>IF(K12=0,0,K19/K12)</x:f>
        <x:v>-1.1880146965665777</x:v>
      </x:c>
      <x:c r="L20" s="74" t="n">
        <x:f>IF(L12=0,0,L19/L12)</x:f>
        <x:v>-0.9593828000907645</x:v>
      </x:c>
      <x:c r="M20" s="74" t="n">
        <x:f>IF(M12=0,0,M19/M12)</x:f>
        <x:v>-0.774011299435028</x:v>
      </x:c>
      <x:c r="N20" s="74" t="n">
        <x:f>IF(N12=0,0,N19/N12)</x:f>
        <x:v>-0.5298416565164433</x:v>
      </x:c>
      <x:c r="O20" s="74" t="n">
        <x:f>IF(O12=0,0,O19/O12)</x:f>
        <x:v>-0.3447537473233402</x:v>
      </x:c>
      <x:c r="P20" s="74" t="n">
        <x:f>IF(P12=0,0,P19/P12)</x:f>
        <x:v>-0.19961795606494726</x:v>
      </x:c>
      <x:c r="Q20" s="74" t="n">
        <x:f>IF(Q12=0,0,Q19/Q12)</x:f>
        <x:v>-0.082758620689655</x:v>
      </x:c>
      <x:c r="R20" s="74" t="n">
        <x:f>IF(R12=0,0,R19/R12)</x:f>
        <x:v>0.01335428122545197</x:v>
      </x:c>
      <x:c r="S20" s="74" t="n">
        <x:f>IF(S12=0,0,S19/S12)</x:f>
        <x:v>0.09379509379509392</x:v>
      </x:c>
      <x:c r="T20" s="74" t="n">
        <x:f>IF(T12=0,0,T19/T12)</x:f>
        <x:v>0.16210807204803201</x:v>
      </x:c>
      <x:c r="U20" s="74" t="n">
        <x:f>IF(U12=0,0,U19/U12)</x:f>
        <x:v>0.22084367245657585</x:v>
      </x:c>
      <x:c r="V20" s="74" t="n">
        <x:f>IF(V12=0,0,V19/V12)</x:f>
        <x:v>0.27188405797101467</x:v>
      </x:c>
      <x:c r="W20" s="74" t="n">
        <x:f>IF(W12=0,0,W19/W12)</x:f>
        <x:v>0.31664853101196966</x:v>
      </x:c>
      <x:c r="X20" s="74" t="n">
        <x:f>IF(X12=0,0,X19/X12)</x:f>
        <x:v>0.35622757560225526</x:v>
      </x:c>
      <x:c r="Y20" s="74" t="n">
        <x:f>IF(Y12=0,0,Y19/Y12)</x:f>
        <x:v>0.39147286821705435</x:v>
      </x:c>
    </x:row>
    <x:row r="21">
      <x:c r="A21" s="65" t="str">
        <x:v>EBIT</x:v>
      </x:c>
      <x:c r="B21" s="66" t="n">
        <x:v>-2115</x:v>
      </x:c>
      <x:c r="C21" s="66" t="n">
        <x:v>-1961.1363636363635</x:v>
      </x:c>
      <x:c r="D21" s="66" t="n">
        <x:v>-1752.6060606060605</x:v>
      </x:c>
      <x:c r="E21" s="66" t="n">
        <x:v>-710.7424242424242</x:v>
      </x:c>
      <x:c r="F21" s="66" t="n">
        <x:v>-668.8787878787879</x:v>
      </x:c>
      <x:c r="G21" s="66" t="n">
        <x:v>-627.0151515151515</x:v>
      </x:c>
      <x:c r="H21" s="66" t="n">
        <x:v>-585.1515151515151</x:v>
      </x:c>
      <x:c r="I21" s="66" t="n">
        <x:v>-543.2878787878788</x:v>
      </x:c>
      <x:c r="J21" s="66" t="n">
        <x:v>-501.4242424242423</x:v>
      </x:c>
      <x:c r="K21" s="66" t="n">
        <x:v>-459.560606060606</x:v>
      </x:c>
      <x:c r="L21" s="66" t="n">
        <x:v>-417.69696969696963</x:v>
      </x:c>
      <x:c r="M21" s="66" t="n">
        <x:v>-375.83333333333326</x:v>
      </x:c>
      <x:c r="N21" s="66" t="n">
        <x:v>-305.2083333333333</x:v>
      </x:c>
      <x:c r="O21" s="66" t="n">
        <x:v>-234.58333333333323</x:v>
      </x:c>
      <x:c r="P21" s="66" t="n">
        <x:v>-163.95833333333323</x:v>
      </x:c>
      <x:c r="Q21" s="66" t="n">
        <x:v>-93.33333333333323</x:v>
      </x:c>
      <x:c r="R21" s="66" t="n">
        <x:v>-22.70833333333311</x:v>
      </x:c>
      <x:c r="S21" s="66" t="n">
        <x:v>47.91666666666678</x:v>
      </x:c>
      <x:c r="T21" s="66" t="n">
        <x:v>118.54166666666666</x:v>
      </x:c>
      <x:c r="U21" s="66" t="n">
        <x:v>189.16666666666688</x:v>
      </x:c>
      <x:c r="V21" s="66" t="n">
        <x:v>259.7916666666669</x:v>
      </x:c>
      <x:c r="W21" s="66" t="n">
        <x:v>330.4166666666669</x:v>
      </x:c>
      <x:c r="X21" s="66" t="n">
        <x:v>401.0416666666667</x:v>
      </x:c>
      <x:c r="Y21" s="66" t="n">
        <x:v>471.6666666666669</x:v>
      </x:c>
    </x:row>
    <x:row r="22">
      <x:c r="A22" s="65" t="str">
        <x:v>Steueraufwand</x:v>
      </x:c>
      <x:c r="B22" s="66" t="n">
        <x:v>0</x:v>
      </x:c>
      <x:c r="C22" s="66" t="n">
        <x:v>0</x:v>
      </x:c>
      <x:c r="D22" s="66" t="n">
        <x:v>0</x:v>
      </x:c>
      <x:c r="E22" s="66" t="n">
        <x:v>0</x:v>
      </x:c>
      <x:c r="F22" s="66" t="n">
        <x:v>0</x:v>
      </x:c>
      <x:c r="G22" s="66" t="n">
        <x:v>0</x:v>
      </x:c>
      <x:c r="H22" s="66" t="n">
        <x:v>0</x:v>
      </x:c>
      <x:c r="I22" s="66" t="n">
        <x:v>0</x:v>
      </x:c>
      <x:c r="J22" s="66" t="n">
        <x:v>0</x:v>
      </x:c>
      <x:c r="K22" s="66" t="n">
        <x:v>0</x:v>
      </x:c>
      <x:c r="L22" s="66" t="n">
        <x:v>0</x:v>
      </x:c>
      <x:c r="M22" s="66" t="n">
        <x:v>0</x:v>
      </x:c>
      <x:c r="N22" s="66" t="n">
        <x:v>0</x:v>
      </x:c>
      <x:c r="O22" s="66" t="n">
        <x:v>0</x:v>
      </x:c>
      <x:c r="P22" s="66" t="n">
        <x:v>0</x:v>
      </x:c>
      <x:c r="Q22" s="66" t="n">
        <x:v>0</x:v>
      </x:c>
      <x:c r="R22" s="66" t="n">
        <x:v>0</x:v>
      </x:c>
      <x:c r="S22" s="66" t="n">
        <x:v>0</x:v>
      </x:c>
      <x:c r="T22" s="66" t="n">
        <x:v>0</x:v>
      </x:c>
      <x:c r="U22" s="66" t="n">
        <x:v>0</x:v>
      </x:c>
      <x:c r="V22" s="66" t="n">
        <x:v>0</x:v>
      </x:c>
      <x:c r="W22" s="66" t="n">
        <x:v>0</x:v>
      </x:c>
      <x:c r="X22" s="66" t="n">
        <x:v>0</x:v>
      </x:c>
      <x:c r="Y22" s="66" t="n">
        <x:v>0</x:v>
      </x:c>
    </x:row>
    <x:row r="23">
      <x:c r="A23" s="65" t="str">
        <x:v>Jahresfehlbetrag/-überschuss</x:v>
      </x:c>
      <x:c r="B23" s="66" t="n">
        <x:v>-2115</x:v>
      </x:c>
      <x:c r="C23" s="66" t="n">
        <x:v>-1961.1363636363635</x:v>
      </x:c>
      <x:c r="D23" s="66" t="n">
        <x:v>-1752.6060606060605</x:v>
      </x:c>
      <x:c r="E23" s="66" t="n">
        <x:v>-710.7424242424242</x:v>
      </x:c>
      <x:c r="F23" s="66" t="n">
        <x:v>-668.8787878787879</x:v>
      </x:c>
      <x:c r="G23" s="66" t="n">
        <x:v>-627.0151515151515</x:v>
      </x:c>
      <x:c r="H23" s="66" t="n">
        <x:v>-585.1515151515151</x:v>
      </x:c>
      <x:c r="I23" s="66" t="n">
        <x:v>-543.2878787878788</x:v>
      </x:c>
      <x:c r="J23" s="66" t="n">
        <x:v>-501.4242424242423</x:v>
      </x:c>
      <x:c r="K23" s="66" t="n">
        <x:v>-459.560606060606</x:v>
      </x:c>
      <x:c r="L23" s="66" t="n">
        <x:v>-417.69696969696963</x:v>
      </x:c>
      <x:c r="M23" s="66" t="n">
        <x:v>-375.83333333333326</x:v>
      </x:c>
      <x:c r="N23" s="66" t="n">
        <x:v>-305.2083333333333</x:v>
      </x:c>
      <x:c r="O23" s="66" t="n">
        <x:v>-234.58333333333323</x:v>
      </x:c>
      <x:c r="P23" s="66" t="n">
        <x:v>-163.95833333333323</x:v>
      </x:c>
      <x:c r="Q23" s="66" t="n">
        <x:v>-93.33333333333323</x:v>
      </x:c>
      <x:c r="R23" s="66" t="n">
        <x:v>-22.70833333333311</x:v>
      </x:c>
      <x:c r="S23" s="66" t="n">
        <x:v>47.91666666666678</x:v>
      </x:c>
      <x:c r="T23" s="66" t="n">
        <x:v>118.54166666666666</x:v>
      </x:c>
      <x:c r="U23" s="66" t="n">
        <x:v>189.16666666666688</x:v>
      </x:c>
      <x:c r="V23" s="66" t="n">
        <x:v>259.7916666666669</x:v>
      </x:c>
      <x:c r="W23" s="66" t="n">
        <x:v>330.4166666666669</x:v>
      </x:c>
      <x:c r="X23" s="66" t="n">
        <x:v>401.0416666666667</x:v>
      </x:c>
      <x:c r="Y23" s="66" t="n">
        <x:v>471.6666666666669</x:v>
      </x:c>
    </x:row>
    <x:row r="24">
      <x:c r="A24" s="65" t="str">
        <x:v>Cash-Eingänge</x:v>
      </x:c>
      <x:c r="B24" s="66" t="n">
        <x:v>20</x:v>
      </x:c>
      <x:c r="C24" s="66" t="n">
        <x:v>23.863636363636367</x:v>
      </x:c>
      <x:c r="D24" s="66" t="n">
        <x:v>141.72727272727275</x:v>
      </x:c>
      <x:c r="E24" s="66" t="n">
        <x:v>178.4989090909091</x:v>
      </x:c>
      <x:c r="F24" s="66" t="n">
        <x:v>215.27054545454553</x:v>
      </x:c>
      <x:c r="G24" s="66" t="n">
        <x:v>252.04218181818186</x:v>
      </x:c>
      <x:c r="H24" s="66" t="n">
        <x:v>288.81381818181825</x:v>
      </x:c>
      <x:c r="I24" s="66" t="n">
        <x:v>325.58545454545464</x:v>
      </x:c>
      <x:c r="J24" s="66" t="n">
        <x:v>362.35709090909097</x:v>
      </x:c>
      <x:c r="K24" s="66" t="n">
        <x:v>399.1287272727273</x:v>
      </x:c>
      <x:c r="L24" s="66" t="n">
        <x:v>435.90036363636375</x:v>
      </x:c>
      <x:c r="M24" s="66" t="n">
        <x:v>472.6720000000001</x:v>
      </x:c>
      <x:c r="N24" s="66" t="n">
        <x:v>588.8716666666668</x:v>
      </x:c>
      <x:c r="O24" s="66" t="n">
        <x:v>651.0100000000002</x:v>
      </x:c>
      <x:c r="P24" s="66" t="n">
        <x:v>771.6683333333334</x:v>
      </x:c>
      <x:c r="Q24" s="66" t="n">
        <x:v>835.562266666667</x:v>
      </x:c>
      <x:c r="R24" s="66" t="n">
        <x:v>899.4562000000004</x:v>
      </x:c>
      <x:c r="S24" s="66" t="n">
        <x:v>963.3501333333332</x:v>
      </x:c>
      <x:c r="T24" s="66" t="n">
        <x:v>1027.2440666666666</x:v>
      </x:c>
      <x:c r="U24" s="66" t="n">
        <x:v>1091.1380000000006</x:v>
      </x:c>
      <x:c r="V24" s="66" t="n">
        <x:v>1155.0319333333334</x:v>
      </x:c>
      <x:c r="W24" s="66" t="n">
        <x:v>1218.9258666666672</x:v>
      </x:c>
      <x:c r="X24" s="66" t="n">
        <x:v>1282.8198</x:v>
      </x:c>
      <x:c r="Y24" s="66" t="n">
        <x:v>1346.7137333333337</x:v>
      </x:c>
    </x:row>
    <x:row r="25">
      <x:c r="A25" s="76" t="str">
        <x:v>Investitionen</x:v>
      </x:c>
      <x:c r="B25" s="77" t="n">
        <x:v>0</x:v>
      </x:c>
      <x:c r="C25" s="77" t="n">
        <x:v>0</x:v>
      </x:c>
      <x:c r="D25" s="77" t="n">
        <x:v>1200</x:v>
      </x:c>
      <x:c r="E25" s="77" t="n">
        <x:v>0</x:v>
      </x:c>
      <x:c r="F25" s="77" t="n">
        <x:v>0</x:v>
      </x:c>
      <x:c r="G25" s="77" t="n">
        <x:v>0</x:v>
      </x:c>
      <x:c r="H25" s="77" t="n">
        <x:v>0</x:v>
      </x:c>
      <x:c r="I25" s="77" t="n">
        <x:v>0</x:v>
      </x:c>
      <x:c r="J25" s="77" t="n">
        <x:v>0</x:v>
      </x:c>
      <x:c r="K25" s="77" t="n">
        <x:v>0</x:v>
      </x:c>
      <x:c r="L25" s="77" t="n">
        <x:v>0</x:v>
      </x:c>
      <x:c r="M25" s="77" t="n">
        <x:v>0</x:v>
      </x:c>
      <x:c r="N25" s="77" t="n">
        <x:v>0</x:v>
      </x:c>
      <x:c r="O25" s="77" t="n">
        <x:v>0</x:v>
      </x:c>
      <x:c r="P25" s="77" t="n">
        <x:v>0</x:v>
      </x:c>
      <x:c r="Q25" s="77" t="n">
        <x:v>0</x:v>
      </x:c>
      <x:c r="R25" s="77" t="n">
        <x:v>0</x:v>
      </x:c>
      <x:c r="S25" s="77" t="n">
        <x:v>0</x:v>
      </x:c>
      <x:c r="T25" s="77" t="n">
        <x:v>0</x:v>
      </x:c>
      <x:c r="U25" s="77" t="n">
        <x:v>0</x:v>
      </x:c>
      <x:c r="V25" s="77" t="n">
        <x:v>0</x:v>
      </x:c>
      <x:c r="W25" s="77" t="n">
        <x:v>0</x:v>
      </x:c>
      <x:c r="X25" s="77" t="n">
        <x:v>0</x:v>
      </x:c>
      <x:c r="Y25" s="77" t="n">
        <x:v>0</x:v>
      </x:c>
    </x:row>
    <x:row r="26">
      <x:c r="A26" s="65" t="str">
        <x:v>Netto-Cashflow</x:v>
      </x:c>
      <x:c r="B26" s="66" t="n">
        <x:v>-2115</x:v>
      </x:c>
      <x:c r="C26" s="66" t="n">
        <x:v>-1961.1363636363635</x:v>
      </x:c>
      <x:c r="D26" s="66" t="n">
        <x:v>-2843.272727272727</x:v>
      </x:c>
      <x:c r="E26" s="66" t="n">
        <x:v>-606.5010909090909</x:v>
      </x:c>
      <x:c r="F26" s="66" t="n">
        <x:v>-569.7294545454545</x:v>
      </x:c>
      <x:c r="G26" s="66" t="n">
        <x:v>-532.9578181818181</x:v>
      </x:c>
      <x:c r="H26" s="66" t="n">
        <x:v>-496.18618181818175</x:v>
      </x:c>
      <x:c r="I26" s="66" t="n">
        <x:v>-459.41454545454536</x:v>
      </x:c>
      <x:c r="J26" s="66" t="n">
        <x:v>-422.64290909090903</x:v>
      </x:c>
      <x:c r="K26" s="66" t="n">
        <x:v>-385.8712727272727</x:v>
      </x:c>
      <x:c r="L26" s="66" t="n">
        <x:v>-349.09963636363625</x:v>
      </x:c>
      <x:c r="M26" s="66" t="n">
        <x:v>-312.3279999999999</x:v>
      </x:c>
      <x:c r="N26" s="66" t="n">
        <x:v>-196.12833333333322</x:v>
      </x:c>
      <x:c r="O26" s="66" t="n">
        <x:v>-133.98999999999978</x:v>
      </x:c>
      <x:c r="P26" s="66" t="n">
        <x:v>-13.331666666666592</x:v>
      </x:c>
      <x:c r="Q26" s="66" t="n">
        <x:v>50.56226666666703</x:v>
      </x:c>
      <x:c r="R26" s="66" t="n">
        <x:v>114.45620000000042</x:v>
      </x:c>
      <x:c r="S26" s="66" t="n">
        <x:v>178.35013333333325</x:v>
      </x:c>
      <x:c r="T26" s="66" t="n">
        <x:v>242.24406666666664</x:v>
      </x:c>
      <x:c r="U26" s="66" t="n">
        <x:v>306.1380000000006</x:v>
      </x:c>
      <x:c r="V26" s="66" t="n">
        <x:v>370.0319333333334</x:v>
      </x:c>
      <x:c r="W26" s="66" t="n">
        <x:v>433.92586666666716</x:v>
      </x:c>
      <x:c r="X26" s="66" t="n">
        <x:v>497.8198</x:v>
      </x:c>
      <x:c r="Y26" s="66" t="n">
        <x:v>561.7137333333337</x:v>
      </x:c>
    </x:row>
    <x:row r="27">
      <x:c r="A27" s="65" t="str">
        <x:v>Anfangsliquidität</x:v>
      </x:c>
      <x:c r="B27" s="66" t="n">
        <x:v>2000</x:v>
      </x:c>
      <x:c r="C27" s="66" t="n">
        <x:v>-115</x:v>
      </x:c>
      <x:c r="D27" s="66" t="n">
        <x:v>-2076.1363636363635</x:v>
      </x:c>
      <x:c r="E27" s="66" t="n">
        <x:v>-4919.40909090909</x:v>
      </x:c>
      <x:c r="F27" s="66" t="n">
        <x:v>-5525.910181818181</x:v>
      </x:c>
      <x:c r="G27" s="66" t="n">
        <x:v>-6095.639636363635</x:v>
      </x:c>
      <x:c r="H27" s="66" t="n">
        <x:v>-6628.597454545453</x:v>
      </x:c>
      <x:c r="I27" s="66" t="n">
        <x:v>-7124.783636363634</x:v>
      </x:c>
      <x:c r="J27" s="66" t="n">
        <x:v>-7584.198181818179</x:v>
      </x:c>
      <x:c r="K27" s="66" t="n">
        <x:v>-8006.841090909088</x:v>
      </x:c>
      <x:c r="L27" s="66" t="n">
        <x:v>-8392.712363636361</x:v>
      </x:c>
      <x:c r="M27" s="66" t="n">
        <x:v>-8741.811999999998</x:v>
      </x:c>
      <x:c r="N27" s="66" t="n">
        <x:v>-9054.139999999998</x:v>
      </x:c>
      <x:c r="O27" s="66" t="n">
        <x:v>-9250.268333333332</x:v>
      </x:c>
      <x:c r="P27" s="66" t="n">
        <x:v>-9384.258333333331</x:v>
      </x:c>
      <x:c r="Q27" s="66" t="n">
        <x:v>-9397.589999999998</x:v>
      </x:c>
      <x:c r="R27" s="66" t="n">
        <x:v>-9347.02773333333</x:v>
      </x:c>
      <x:c r="S27" s="66" t="n">
        <x:v>-9232.57153333333</x:v>
      </x:c>
      <x:c r="T27" s="66" t="n">
        <x:v>-9054.221399999997</x:v>
      </x:c>
      <x:c r="U27" s="66" t="n">
        <x:v>-8811.97733333333</x:v>
      </x:c>
      <x:c r="V27" s="66" t="n">
        <x:v>-8505.83933333333</x:v>
      </x:c>
      <x:c r="W27" s="66" t="n">
        <x:v>-8135.807399999996</x:v>
      </x:c>
      <x:c r="X27" s="66" t="n">
        <x:v>-7701.881533333329</x:v>
      </x:c>
      <x:c r="Y27" s="66" t="n">
        <x:v>-7204.061733333328</x:v>
      </x:c>
    </x:row>
    <x:row r="28">
      <x:c r="A28" s="65" t="str">
        <x:v>Endliquidität</x:v>
      </x:c>
      <x:c r="B28" s="66" t="n">
        <x:v>-115</x:v>
      </x:c>
      <x:c r="C28" s="66" t="n">
        <x:v>-2076.1363636363635</x:v>
      </x:c>
      <x:c r="D28" s="66" t="n">
        <x:v>-4919.40909090909</x:v>
      </x:c>
      <x:c r="E28" s="66" t="n">
        <x:v>-5525.910181818181</x:v>
      </x:c>
      <x:c r="F28" s="66" t="n">
        <x:v>-6095.639636363635</x:v>
      </x:c>
      <x:c r="G28" s="66" t="n">
        <x:v>-6628.597454545453</x:v>
      </x:c>
      <x:c r="H28" s="66" t="n">
        <x:v>-7124.783636363634</x:v>
      </x:c>
      <x:c r="I28" s="66" t="n">
        <x:v>-7584.198181818179</x:v>
      </x:c>
      <x:c r="J28" s="66" t="n">
        <x:v>-8006.841090909088</x:v>
      </x:c>
      <x:c r="K28" s="66" t="n">
        <x:v>-8392.712363636361</x:v>
      </x:c>
      <x:c r="L28" s="66" t="n">
        <x:v>-8741.811999999998</x:v>
      </x:c>
      <x:c r="M28" s="66" t="n">
        <x:v>-9054.139999999998</x:v>
      </x:c>
      <x:c r="N28" s="66" t="n">
        <x:v>-9250.268333333332</x:v>
      </x:c>
      <x:c r="O28" s="66" t="n">
        <x:v>-9384.258333333331</x:v>
      </x:c>
      <x:c r="P28" s="66" t="n">
        <x:v>-9397.589999999998</x:v>
      </x:c>
      <x:c r="Q28" s="66" t="n">
        <x:v>-9347.02773333333</x:v>
      </x:c>
      <x:c r="R28" s="66" t="n">
        <x:v>-9232.57153333333</x:v>
      </x:c>
      <x:c r="S28" s="66" t="n">
        <x:v>-9054.221399999997</x:v>
      </x:c>
      <x:c r="T28" s="66" t="n">
        <x:v>-8811.97733333333</x:v>
      </x:c>
      <x:c r="U28" s="66" t="n">
        <x:v>-8505.83933333333</x:v>
      </x:c>
      <x:c r="V28" s="66" t="n">
        <x:v>-8135.807399999996</x:v>
      </x:c>
      <x:c r="W28" s="66" t="n">
        <x:v>-7701.881533333329</x:v>
      </x:c>
      <x:c r="X28" s="66" t="n">
        <x:v>-7204.061733333328</x:v>
      </x:c>
      <x:c r="Y28" s="66" t="n">
        <x:v>-6642.3479999999945</x:v>
      </x:c>
    </x:row>
    <x:row r="29">
      <x:c r="A29" s="65" t="str">
        <x:v>Veränderung Deferred Revenue</x:v>
      </x:c>
      <x:c r="B29" s="66" t="n">
        <x:v>0</x:v>
      </x:c>
      <x:c r="C29" s="66" t="n">
        <x:v>0</x:v>
      </x:c>
      <x:c r="D29" s="66" t="n">
        <x:v>76.00000000000001</x:v>
      </x:c>
      <x:c r="E29" s="66" t="n">
        <x:v>70.908</x:v>
      </x:c>
      <x:c r="F29" s="66" t="n">
        <x:v>65.81600000000003</x:v>
      </x:c>
      <x:c r="G29" s="66" t="n">
        <x:v>60.72400000000002</x:v>
      </x:c>
      <x:c r="H29" s="66" t="n">
        <x:v>55.63200000000003</x:v>
      </x:c>
      <x:c r="I29" s="66" t="n">
        <x:v>50.54000000000002</x:v>
      </x:c>
      <x:c r="J29" s="66" t="n">
        <x:v>45.44799999999998</x:v>
      </x:c>
      <x:c r="K29" s="66" t="n">
        <x:v>40.355999999999995</x:v>
      </x:c>
      <x:c r="L29" s="66" t="n">
        <x:v>35.26400000000007</x:v>
      </x:c>
      <x:c r="M29" s="66" t="n">
        <x:v>30.172000000000025</x:v>
      </x:c>
      <x:c r="N29" s="66" t="n">
        <x:v>75.74666666666678</x:v>
      </x:c>
      <x:c r="O29" s="66" t="n">
        <x:v>67.2600000000001</x:v>
      </x:c>
      <x:c r="P29" s="66" t="n">
        <x:v>117.2933333333333</x:v>
      </x:c>
      <x:c r="Q29" s="66" t="n">
        <x:v>110.56226666666691</x:v>
      </x:c>
      <x:c r="R29" s="66" t="n">
        <x:v>103.8312000000002</x:v>
      </x:c>
      <x:c r="S29" s="66" t="n">
        <x:v>97.10013333333313</x:v>
      </x:c>
      <x:c r="T29" s="66" t="n">
        <x:v>90.36906666666664</x:v>
      </x:c>
      <x:c r="U29" s="66" t="n">
        <x:v>83.63800000000037</x:v>
      </x:c>
      <x:c r="V29" s="66" t="n">
        <x:v>76.9069333333332</x:v>
      </x:c>
      <x:c r="W29" s="66" t="n">
        <x:v>70.17586666666693</x:v>
      </x:c>
      <x:c r="X29" s="66" t="n">
        <x:v>63.44479999999999</x:v>
      </x:c>
      <x:c r="Y29" s="66" t="n">
        <x:v>56.713733333333494</x:v>
      </x:c>
    </x:row>
    <x:row r="30">
      <x:c r="A30" s="65" t="str">
        <x:v>Gründerarbeit (Schattenkosten)</x:v>
      </x:c>
      <x:c r="B30" s="66" t="n">
        <x:v>5196</x:v>
      </x:c>
      <x:c r="C30" s="66" t="n">
        <x:v>5196</x:v>
      </x:c>
      <x:c r="D30" s="66" t="n">
        <x:v>5196</x:v>
      </x:c>
      <x:c r="E30" s="66" t="n">
        <x:v>5196</x:v>
      </x:c>
      <x:c r="F30" s="66" t="n">
        <x:v>5196</x:v>
      </x:c>
      <x:c r="G30" s="66" t="n">
        <x:v>5196</x:v>
      </x:c>
      <x:c r="H30" s="66" t="n">
        <x:v>5196</x:v>
      </x:c>
      <x:c r="I30" s="66" t="n">
        <x:v>5196</x:v>
      </x:c>
      <x:c r="J30" s="66" t="n">
        <x:v>5196</x:v>
      </x:c>
      <x:c r="K30" s="66" t="n">
        <x:v>5196</x:v>
      </x:c>
      <x:c r="L30" s="66" t="n">
        <x:v>5196</x:v>
      </x:c>
      <x:c r="M30" s="66" t="n">
        <x:v>5196</x:v>
      </x:c>
      <x:c r="N30" s="66" t="n">
        <x:v>5196</x:v>
      </x:c>
      <x:c r="O30" s="66" t="n">
        <x:v>5196</x:v>
      </x:c>
      <x:c r="P30" s="66" t="n">
        <x:v>5196</x:v>
      </x:c>
      <x:c r="Q30" s="66" t="n">
        <x:v>5196</x:v>
      </x:c>
      <x:c r="R30" s="66" t="n">
        <x:v>5196</x:v>
      </x:c>
      <x:c r="S30" s="66" t="n">
        <x:v>5196</x:v>
      </x:c>
      <x:c r="T30" s="66" t="n">
        <x:v>5196</x:v>
      </x:c>
      <x:c r="U30" s="66" t="n">
        <x:v>5196</x:v>
      </x:c>
      <x:c r="V30" s="66" t="n">
        <x:v>5196</x:v>
      </x:c>
      <x:c r="W30" s="66" t="n">
        <x:v>5196</x:v>
      </x:c>
      <x:c r="X30" s="66" t="n">
        <x:v>5196</x:v>
      </x:c>
      <x:c r="Y30" s="66" t="n">
        <x:v>5196</x:v>
      </x:c>
    </x:row>
    <x:row r="31">
      <x:c r="A31" s="65" t="str">
        <x:v>Ökonomisches EBITDA</x:v>
      </x:c>
      <x:c r="B31" s="66" t="n">
        <x:v>-7311</x:v>
      </x:c>
      <x:c r="C31" s="66" t="n">
        <x:v>-7157.136363636364</x:v>
      </x:c>
      <x:c r="D31" s="66" t="n">
        <x:v>-6915.272727272727</x:v>
      </x:c>
      <x:c r="E31" s="66" t="n">
        <x:v>-5873.409090909091</x:v>
      </x:c>
      <x:c r="F31" s="66" t="n">
        <x:v>-5831.545454545454</x:v>
      </x:c>
      <x:c r="G31" s="66" t="n">
        <x:v>-5789.681818181818</x:v>
      </x:c>
      <x:c r="H31" s="66" t="n">
        <x:v>-5747.818181818182</x:v>
      </x:c>
      <x:c r="I31" s="66" t="n">
        <x:v>-5705.954545454545</x:v>
      </x:c>
      <x:c r="J31" s="66" t="n">
        <x:v>-5664.090909090909</x:v>
      </x:c>
      <x:c r="K31" s="66" t="n">
        <x:v>-5622.227272727273</x:v>
      </x:c>
      <x:c r="L31" s="66" t="n">
        <x:v>-5580.363636363636</x:v>
      </x:c>
      <x:c r="M31" s="66" t="n">
        <x:v>-5538.5</x:v>
      </x:c>
      <x:c r="N31" s="66" t="n">
        <x:v>-5467.875</x:v>
      </x:c>
      <x:c r="O31" s="66" t="n">
        <x:v>-5397.25</x:v>
      </x:c>
      <x:c r="P31" s="66" t="n">
        <x:v>-5326.625</x:v>
      </x:c>
      <x:c r="Q31" s="66" t="n">
        <x:v>-5256</x:v>
      </x:c>
      <x:c r="R31" s="66" t="n">
        <x:v>-5185.375</x:v>
      </x:c>
      <x:c r="S31" s="66" t="n">
        <x:v>-5114.75</x:v>
      </x:c>
      <x:c r="T31" s="66" t="n">
        <x:v>-5044.125</x:v>
      </x:c>
      <x:c r="U31" s="66" t="n">
        <x:v>-4973.5</x:v>
      </x:c>
      <x:c r="V31" s="66" t="n">
        <x:v>-4902.875</x:v>
      </x:c>
      <x:c r="W31" s="66" t="n">
        <x:v>-4832.25</x:v>
      </x:c>
      <x:c r="X31" s="66" t="n">
        <x:v>-4761.625</x:v>
      </x:c>
      <x:c r="Y31" s="66" t="n">
        <x:v>-4691</x:v>
      </x:c>
    </x:row>
    <x:row r="32">
      <x:c r="A32" s="76" t="str">
        <x:v>ARR Run-rate</x:v>
      </x:c>
      <x:c r="B32" s="77" t="n">
        <x:v>0</x:v>
      </x:c>
      <x:c r="C32" s="77" t="n">
        <x:v>0</x:v>
      </x:c>
      <x:c r="D32" s="77" t="n">
        <x:v>456.0000000000001</x:v>
      </x:c>
      <x:c r="E32" s="77" t="n">
        <x:v>912.0000000000002</x:v>
      </x:c>
      <x:c r="F32" s="77" t="n">
        <x:v>1368.0000000000005</x:v>
      </x:c>
      <x:c r="G32" s="77" t="n">
        <x:v>1824.0000000000005</x:v>
      </x:c>
      <x:c r="H32" s="77" t="n">
        <x:v>2280.0000000000005</x:v>
      </x:c>
      <x:c r="I32" s="77" t="n">
        <x:v>2736.000000000001</x:v>
      </x:c>
      <x:c r="J32" s="77" t="n">
        <x:v>3192.000000000001</x:v>
      </x:c>
      <x:c r="K32" s="77" t="n">
        <x:v>3648.000000000001</x:v>
      </x:c>
      <x:c r="L32" s="77" t="n">
        <x:v>4104.000000000001</x:v>
      </x:c>
      <x:c r="M32" s="77" t="n">
        <x:v>4560.000000000001</x:v>
      </x:c>
      <x:c r="N32" s="77" t="n">
        <x:v>5320</x:v>
      </x:c>
      <x:c r="O32" s="77" t="n">
        <x:v>6080.000000000002</x:v>
      </x:c>
      <x:c r="P32" s="77" t="n">
        <x:v>6840.000000000002</x:v>
      </x:c>
      <x:c r="Q32" s="77" t="n">
        <x:v>7600.000000000002</x:v>
      </x:c>
      <x:c r="R32" s="77" t="n">
        <x:v>8360.000000000002</x:v>
      </x:c>
      <x:c r="S32" s="77" t="n">
        <x:v>9120.000000000002</x:v>
      </x:c>
      <x:c r="T32" s="77" t="n">
        <x:v>9880</x:v>
      </x:c>
      <x:c r="U32" s="77" t="n">
        <x:v>10640.000000000004</x:v>
      </x:c>
      <x:c r="V32" s="77" t="n">
        <x:v>11400.000000000004</x:v>
      </x:c>
      <x:c r="W32" s="77" t="n">
        <x:v>12160.000000000004</x:v>
      </x:c>
      <x:c r="X32" s="77" t="n">
        <x:v>12920</x:v>
      </x:c>
      <x:c r="Y32" s="77" t="n">
        <x:v>13680.000000000004</x:v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  <x:c r="R33" s="61"/>
      <x:c r="S33" s="61"/>
      <x:c r="T33" s="61"/>
      <x:c r="U33" s="61"/>
      <x:c r="V33" s="61"/>
      <x:c r="W33" s="61"/>
      <x:c r="X33" s="61"/>
      <x:c r="Y33" s="61"/>
    </x:row>
    <x:row r="34">
      <x:c r="A34" s="62" t="str">
        <x:v>Maximaler rechnerischer Liquiditätsbedarf dieses Szenarios: 10000 €. Negative Liquidität bedeutet Finanzierungslücke; keine automatische Kreditlinie modelliert.</x:v>
      </x:c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</x:row>
  </x:sheetData>
  <x:mergeCells>
    <x:mergeCell ref="A1:J1"/>
    <x:mergeCell ref="A2:J2"/>
    <x:mergeCell ref="A34:Y3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 ht="32" customHeight="1">
      <x:c r="A1" s="72" t="str">
        <x:v>Monatsplanung M1–M24 · Realistisch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  <x:c r="W1" s="61"/>
      <x:c r="X1" s="61"/>
      <x:c r="Y1" s="61"/>
    </x:row>
    <x:row r="2" ht="26" customHeight="1">
      <x:c r="A2" s="62" t="str">
        <x:v>Planstart August 2026. Gesetzliche GuV ohne Gründergehälter; ökonomisches EBITDA zeigt die Opportunitätskosten der Gründerarbeit.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1"/>
      <x:c r="L2" s="61"/>
      <x:c r="M2" s="61"/>
      <x:c r="N2" s="61"/>
      <x:c r="O2" s="61"/>
      <x:c r="P2" s="61"/>
      <x:c r="Q2" s="61"/>
      <x:c r="R2" s="61"/>
      <x:c r="S2" s="61"/>
      <x:c r="T2" s="61"/>
      <x:c r="U2" s="61"/>
      <x:c r="V2" s="61"/>
      <x:c r="W2" s="61"/>
      <x:c r="X2" s="61"/>
      <x:c r="Y2" s="61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  <x:c r="S3" s="61"/>
      <x:c r="T3" s="61"/>
      <x:c r="U3" s="61"/>
      <x:c r="V3" s="61"/>
      <x:c r="W3" s="61"/>
      <x:c r="X3" s="61"/>
      <x:c r="Y3" s="61"/>
    </x:row>
    <x:row r="4">
      <x:c r="A4" s="63" t="str">
        <x:v>Kennzahl</x:v>
      </x:c>
      <x:c r="B4" s="75" t="n">
        <x:v>46235</x:v>
      </x:c>
      <x:c r="C4" s="75" t="n">
        <x:v>46266</x:v>
      </x:c>
      <x:c r="D4" s="75" t="n">
        <x:v>46296</x:v>
      </x:c>
      <x:c r="E4" s="75" t="n">
        <x:v>46327</x:v>
      </x:c>
      <x:c r="F4" s="75" t="n">
        <x:v>46357</x:v>
      </x:c>
      <x:c r="G4" s="75" t="n">
        <x:v>46388</x:v>
      </x:c>
      <x:c r="H4" s="75" t="n">
        <x:v>46419</x:v>
      </x:c>
      <x:c r="I4" s="75" t="n">
        <x:v>46447</x:v>
      </x:c>
      <x:c r="J4" s="75" t="n">
        <x:v>46478</x:v>
      </x:c>
      <x:c r="K4" s="75" t="n">
        <x:v>46508</x:v>
      </x:c>
      <x:c r="L4" s="75" t="n">
        <x:v>46539</x:v>
      </x:c>
      <x:c r="M4" s="75" t="n">
        <x:v>46569</x:v>
      </x:c>
      <x:c r="N4" s="75" t="n">
        <x:v>46600</x:v>
      </x:c>
      <x:c r="O4" s="75" t="n">
        <x:v>46631</x:v>
      </x:c>
      <x:c r="P4" s="75" t="n">
        <x:v>46661</x:v>
      </x:c>
      <x:c r="Q4" s="75" t="n">
        <x:v>46692</x:v>
      </x:c>
      <x:c r="R4" s="75" t="n">
        <x:v>46722</x:v>
      </x:c>
      <x:c r="S4" s="75" t="n">
        <x:v>46753</x:v>
      </x:c>
      <x:c r="T4" s="75" t="n">
        <x:v>46784</x:v>
      </x:c>
      <x:c r="U4" s="75" t="n">
        <x:v>46813</x:v>
      </x:c>
      <x:c r="V4" s="75" t="n">
        <x:v>46844</x:v>
      </x:c>
      <x:c r="W4" s="75" t="n">
        <x:v>46874</x:v>
      </x:c>
      <x:c r="X4" s="75" t="n">
        <x:v>46905</x:v>
      </x:c>
      <x:c r="Y4" s="75" t="n">
        <x:v>46935</x:v>
      </x:c>
    </x:row>
    <x:row r="5">
      <x:c r="A5" s="65" t="str">
        <x:v>Aktive B2B-Kunden</x:v>
      </x:c>
      <x:c r="B5" s="67" t="n">
        <x:v>0</x:v>
      </x:c>
      <x:c r="C5" s="67" t="n">
        <x:v>0</x:v>
      </x:c>
      <x:c r="D5" s="67" t="n">
        <x:v>1.5</x:v>
      </x:c>
      <x:c r="E5" s="67" t="n">
        <x:v>3</x:v>
      </x:c>
      <x:c r="F5" s="67" t="n">
        <x:v>4.5</x:v>
      </x:c>
      <x:c r="G5" s="67" t="n">
        <x:v>6</x:v>
      </x:c>
      <x:c r="H5" s="67" t="n">
        <x:v>7.5</x:v>
      </x:c>
      <x:c r="I5" s="67" t="n">
        <x:v>9</x:v>
      </x:c>
      <x:c r="J5" s="67" t="n">
        <x:v>10.5</x:v>
      </x:c>
      <x:c r="K5" s="67" t="n">
        <x:v>12</x:v>
      </x:c>
      <x:c r="L5" s="67" t="n">
        <x:v>13.5</x:v>
      </x:c>
      <x:c r="M5" s="67" t="n">
        <x:v>15</x:v>
      </x:c>
      <x:c r="N5" s="67" t="n">
        <x:v>17.916666666666668</x:v>
      </x:c>
      <x:c r="O5" s="67" t="n">
        <x:v>20.833333333333332</x:v>
      </x:c>
      <x:c r="P5" s="67" t="n">
        <x:v>23.75</x:v>
      </x:c>
      <x:c r="Q5" s="67" t="n">
        <x:v>26.666666666666664</x:v>
      </x:c>
      <x:c r="R5" s="67" t="n">
        <x:v>29.583333333333336</x:v>
      </x:c>
      <x:c r="S5" s="67" t="n">
        <x:v>32.5</x:v>
      </x:c>
      <x:c r="T5" s="67" t="n">
        <x:v>35.41666666666667</x:v>
      </x:c>
      <x:c r="U5" s="67" t="n">
        <x:v>38.33333333333333</x:v>
      </x:c>
      <x:c r="V5" s="67" t="n">
        <x:v>41.25</x:v>
      </x:c>
      <x:c r="W5" s="67" t="n">
        <x:v>44.16666666666667</x:v>
      </x:c>
      <x:c r="X5" s="67" t="n">
        <x:v>47.083333333333336</x:v>
      </x:c>
      <x:c r="Y5" s="67" t="n">
        <x:v>50</x:v>
      </x:c>
    </x:row>
    <x:row r="6">
      <x:c r="A6" s="65" t="str">
        <x:v>Neukunden brutto</x:v>
      </x:c>
      <x:c r="B6" s="67" t="n">
        <x:v>0</x:v>
      </x:c>
      <x:c r="C6" s="67" t="n">
        <x:v>0</x:v>
      </x:c>
      <x:c r="D6" s="67" t="n">
        <x:v>1.5</x:v>
      </x:c>
      <x:c r="E6" s="67" t="n">
        <x:v>1.53</x:v>
      </x:c>
      <x:c r="F6" s="67" t="n">
        <x:v>1.56</x:v>
      </x:c>
      <x:c r="G6" s="67" t="n">
        <x:v>1.59</x:v>
      </x:c>
      <x:c r="H6" s="67" t="n">
        <x:v>1.62</x:v>
      </x:c>
      <x:c r="I6" s="67" t="n">
        <x:v>1.65</x:v>
      </x:c>
      <x:c r="J6" s="67" t="n">
        <x:v>1.68</x:v>
      </x:c>
      <x:c r="K6" s="67" t="n">
        <x:v>1.71</x:v>
      </x:c>
      <x:c r="L6" s="67" t="n">
        <x:v>1.74</x:v>
      </x:c>
      <x:c r="M6" s="67" t="n">
        <x:v>1.77</x:v>
      </x:c>
      <x:c r="N6" s="67" t="n">
        <x:v>3.2166666666666677</x:v>
      </x:c>
      <x:c r="O6" s="67" t="n">
        <x:v>3.2749999999999977</x:v>
      </x:c>
      <x:c r="P6" s="67" t="n">
        <x:v>3.3333333333333344</x:v>
      </x:c>
      <x:c r="Q6" s="67" t="n">
        <x:v>3.3916666666666644</x:v>
      </x:c>
      <x:c r="R6" s="67" t="n">
        <x:v>3.4500000000000046</x:v>
      </x:c>
      <x:c r="S6" s="67" t="n">
        <x:v>3.508333333333331</x:v>
      </x:c>
      <x:c r="T6" s="67" t="n">
        <x:v>3.5666666666666713</x:v>
      </x:c>
      <x:c r="U6" s="67" t="n">
        <x:v>3.6249999999999907</x:v>
      </x:c>
      <x:c r="V6" s="67" t="n">
        <x:v>3.683333333333338</x:v>
      </x:c>
      <x:c r="W6" s="67" t="n">
        <x:v>3.7416666666666716</x:v>
      </x:c>
      <x:c r="X6" s="67" t="n">
        <x:v>3.7999999999999976</x:v>
      </x:c>
      <x:c r="Y6" s="67" t="n">
        <x:v>3.858333333333331</x:v>
      </x:c>
    </x:row>
    <x:row r="7">
      <x:c r="A7" s="65" t="str">
        <x:v>Abgewanderte Kunden</x:v>
      </x:c>
      <x:c r="B7" s="67" t="n">
        <x:v>0</x:v>
      </x:c>
      <x:c r="C7" s="67" t="n">
        <x:v>0</x:v>
      </x:c>
      <x:c r="D7" s="67" t="n">
        <x:v>0</x:v>
      </x:c>
      <x:c r="E7" s="67" t="n">
        <x:v>0.03</x:v>
      </x:c>
      <x:c r="F7" s="67" t="n">
        <x:v>0.06</x:v>
      </x:c>
      <x:c r="G7" s="67" t="n">
        <x:v>0.09</x:v>
      </x:c>
      <x:c r="H7" s="67" t="n">
        <x:v>0.12</x:v>
      </x:c>
      <x:c r="I7" s="67" t="n">
        <x:v>0.15</x:v>
      </x:c>
      <x:c r="J7" s="67" t="n">
        <x:v>0.18</x:v>
      </x:c>
      <x:c r="K7" s="67" t="n">
        <x:v>0.21</x:v>
      </x:c>
      <x:c r="L7" s="67" t="n">
        <x:v>0.24</x:v>
      </x:c>
      <x:c r="M7" s="67" t="n">
        <x:v>0.27</x:v>
      </x:c>
      <x:c r="N7" s="67" t="n">
        <x:v>0.3</x:v>
      </x:c>
      <x:c r="O7" s="67" t="n">
        <x:v>0.35833333333333334</x:v>
      </x:c>
      <x:c r="P7" s="67" t="n">
        <x:v>0.41666666666666663</x:v>
      </x:c>
      <x:c r="Q7" s="67" t="n">
        <x:v>0.47500000000000003</x:v>
      </x:c>
      <x:c r="R7" s="67" t="n">
        <x:v>0.5333333333333333</x:v>
      </x:c>
      <x:c r="S7" s="67" t="n">
        <x:v>0.5916666666666667</x:v>
      </x:c>
      <x:c r="T7" s="67" t="n">
        <x:v>0.65</x:v>
      </x:c>
      <x:c r="U7" s="67" t="n">
        <x:v>0.7083333333333335</x:v>
      </x:c>
      <x:c r="V7" s="67" t="n">
        <x:v>0.7666666666666666</x:v>
      </x:c>
      <x:c r="W7" s="67" t="n">
        <x:v>0.8250000000000001</x:v>
      </x:c>
      <x:c r="X7" s="67" t="n">
        <x:v>0.8833333333333334</x:v>
      </x:c>
      <x:c r="Y7" s="67" t="n">
        <x:v>0.9416666666666668</x:v>
      </x:c>
    </x:row>
    <x:row r="8">
      <x:c r="A8" s="65" t="str">
        <x:v>Pageviews</x:v>
      </x:c>
      <x:c r="B8" s="67" t="n">
        <x:v>8000</x:v>
      </x:c>
      <x:c r="C8" s="67" t="n">
        <x:v>14090.909090909092</x:v>
      </x:c>
      <x:c r="D8" s="67" t="n">
        <x:v>20181.818181818184</x:v>
      </x:c>
      <x:c r="E8" s="67" t="n">
        <x:v>26272.727272727272</x:v>
      </x:c>
      <x:c r="F8" s="67" t="n">
        <x:v>32363.636363636364</x:v>
      </x:c>
      <x:c r="G8" s="67" t="n">
        <x:v>38454.545454545456</x:v>
      </x:c>
      <x:c r="H8" s="67" t="n">
        <x:v>44545.454545454544</x:v>
      </x:c>
      <x:c r="I8" s="67" t="n">
        <x:v>50636.36363636364</x:v>
      </x:c>
      <x:c r="J8" s="67" t="n">
        <x:v>56727.27272727273</x:v>
      </x:c>
      <x:c r="K8" s="67" t="n">
        <x:v>62818.181818181816</x:v>
      </x:c>
      <x:c r="L8" s="67" t="n">
        <x:v>68909.09090909091</x:v>
      </x:c>
      <x:c r="M8" s="67" t="n">
        <x:v>75000</x:v>
      </x:c>
      <x:c r="N8" s="67" t="n">
        <x:v>89583.33333333333</x:v>
      </x:c>
      <x:c r="O8" s="67" t="n">
        <x:v>104166.66666666667</x:v>
      </x:c>
      <x:c r="P8" s="67" t="n">
        <x:v>118750</x:v>
      </x:c>
      <x:c r="Q8" s="67" t="n">
        <x:v>133333.33333333334</x:v>
      </x:c>
      <x:c r="R8" s="67" t="n">
        <x:v>147916.6666666667</x:v>
      </x:c>
      <x:c r="S8" s="67" t="n">
        <x:v>162500</x:v>
      </x:c>
      <x:c r="T8" s="67" t="n">
        <x:v>177083.3333333333</x:v>
      </x:c>
      <x:c r="U8" s="67" t="n">
        <x:v>191666.6666666667</x:v>
      </x:c>
      <x:c r="V8" s="67" t="n">
        <x:v>206250</x:v>
      </x:c>
      <x:c r="W8" s="67" t="n">
        <x:v>220833.33333333334</x:v>
      </x:c>
      <x:c r="X8" s="67" t="n">
        <x:v>235416.66666666666</x:v>
      </x:c>
      <x:c r="Y8" s="67" t="n">
        <x:v>250000</x:v>
      </x:c>
    </x:row>
    <x:row r="9">
      <x:c r="A9" s="65" t="str">
        <x:v>Blended MRR/Kunde</x:v>
      </x:c>
      <x:c r="B9" s="66" t="n">
        <x:v>101.5</x:v>
      </x:c>
      <x:c r="C9" s="66" t="n">
        <x:v>101.5</x:v>
      </x:c>
      <x:c r="D9" s="66" t="n">
        <x:v>101.5</x:v>
      </x:c>
      <x:c r="E9" s="66" t="n">
        <x:v>101.5</x:v>
      </x:c>
      <x:c r="F9" s="66" t="n">
        <x:v>101.5</x:v>
      </x:c>
      <x:c r="G9" s="66" t="n">
        <x:v>101.5</x:v>
      </x:c>
      <x:c r="H9" s="66" t="n">
        <x:v>101.5</x:v>
      </x:c>
      <x:c r="I9" s="66" t="n">
        <x:v>101.5</x:v>
      </x:c>
      <x:c r="J9" s="66" t="n">
        <x:v>101.5</x:v>
      </x:c>
      <x:c r="K9" s="66" t="n">
        <x:v>101.5</x:v>
      </x:c>
      <x:c r="L9" s="66" t="n">
        <x:v>101.5</x:v>
      </x:c>
      <x:c r="M9" s="66" t="n">
        <x:v>101.5</x:v>
      </x:c>
      <x:c r="N9" s="66" t="n">
        <x:v>101.5</x:v>
      </x:c>
      <x:c r="O9" s="66" t="n">
        <x:v>101.5</x:v>
      </x:c>
      <x:c r="P9" s="66" t="n">
        <x:v>101.5</x:v>
      </x:c>
      <x:c r="Q9" s="66" t="n">
        <x:v>101.5</x:v>
      </x:c>
      <x:c r="R9" s="66" t="n">
        <x:v>101.5</x:v>
      </x:c>
      <x:c r="S9" s="66" t="n">
        <x:v>101.5</x:v>
      </x:c>
      <x:c r="T9" s="66" t="n">
        <x:v>101.5</x:v>
      </x:c>
      <x:c r="U9" s="66" t="n">
        <x:v>101.5</x:v>
      </x:c>
      <x:c r="V9" s="66" t="n">
        <x:v>101.5</x:v>
      </x:c>
      <x:c r="W9" s="66" t="n">
        <x:v>101.5</x:v>
      </x:c>
      <x:c r="X9" s="66" t="n">
        <x:v>101.5</x:v>
      </x:c>
      <x:c r="Y9" s="66" t="n">
        <x:v>101.5</x:v>
      </x:c>
    </x:row>
    <x:row r="10">
      <x:c r="A10" s="65" t="str">
        <x:v>Abo-Umsatz</x:v>
      </x:c>
      <x:c r="B10" s="66" t="n">
        <x:v>0</x:v>
      </x:c>
      <x:c r="C10" s="66" t="n">
        <x:v>0</x:v>
      </x:c>
      <x:c r="D10" s="66" t="n">
        <x:v>152.25</x:v>
      </x:c>
      <x:c r="E10" s="66" t="n">
        <x:v>304.5</x:v>
      </x:c>
      <x:c r="F10" s="66" t="n">
        <x:v>456.75</x:v>
      </x:c>
      <x:c r="G10" s="66" t="n">
        <x:v>609</x:v>
      </x:c>
      <x:c r="H10" s="66" t="n">
        <x:v>761.25</x:v>
      </x:c>
      <x:c r="I10" s="66" t="n">
        <x:v>913.5</x:v>
      </x:c>
      <x:c r="J10" s="66" t="n">
        <x:v>1065.75</x:v>
      </x:c>
      <x:c r="K10" s="66" t="n">
        <x:v>1218</x:v>
      </x:c>
      <x:c r="L10" s="66" t="n">
        <x:v>1370.25</x:v>
      </x:c>
      <x:c r="M10" s="66" t="n">
        <x:v>1522.5</x:v>
      </x:c>
      <x:c r="N10" s="66" t="n">
        <x:v>1818.5416666666667</x:v>
      </x:c>
      <x:c r="O10" s="66" t="n">
        <x:v>2114.583333333333</x:v>
      </x:c>
      <x:c r="P10" s="66" t="n">
        <x:v>2410.625</x:v>
      </x:c>
      <x:c r="Q10" s="66" t="n">
        <x:v>2706.6666666666665</x:v>
      </x:c>
      <x:c r="R10" s="66" t="n">
        <x:v>3002.7083333333335</x:v>
      </x:c>
      <x:c r="S10" s="66" t="n">
        <x:v>3298.75</x:v>
      </x:c>
      <x:c r="T10" s="66" t="n">
        <x:v>3594.791666666667</x:v>
      </x:c>
      <x:c r="U10" s="66" t="n">
        <x:v>3890.833333333333</x:v>
      </x:c>
      <x:c r="V10" s="66" t="n">
        <x:v>4186.875</x:v>
      </x:c>
      <x:c r="W10" s="66" t="n">
        <x:v>4482.916666666667</x:v>
      </x:c>
      <x:c r="X10" s="66" t="n">
        <x:v>4778.958333333334</x:v>
      </x:c>
      <x:c r="Y10" s="66" t="n">
        <x:v>5075</x:v>
      </x:c>
    </x:row>
    <x:row r="11">
      <x:c r="A11" s="65" t="str">
        <x:v>Werbeumsatz</x:v>
      </x:c>
      <x:c r="B11" s="66" t="n">
        <x:v>40</x:v>
      </x:c>
      <x:c r="C11" s="66" t="n">
        <x:v>70.45454545454545</x:v>
      </x:c>
      <x:c r="D11" s="66" t="n">
        <x:v>100.90909090909092</x:v>
      </x:c>
      <x:c r="E11" s="66" t="n">
        <x:v>131.36363636363637</x:v>
      </x:c>
      <x:c r="F11" s="66" t="n">
        <x:v>161.81818181818184</x:v>
      </x:c>
      <x:c r="G11" s="66" t="n">
        <x:v>192.27272727272725</x:v>
      </x:c>
      <x:c r="H11" s="66" t="n">
        <x:v>222.72727272727275</x:v>
      </x:c>
      <x:c r="I11" s="66" t="n">
        <x:v>253.1818181818182</x:v>
      </x:c>
      <x:c r="J11" s="66" t="n">
        <x:v>283.6363636363636</x:v>
      </x:c>
      <x:c r="K11" s="66" t="n">
        <x:v>314.09090909090907</x:v>
      </x:c>
      <x:c r="L11" s="66" t="n">
        <x:v>344.5454545454545</x:v>
      </x:c>
      <x:c r="M11" s="66" t="n">
        <x:v>375</x:v>
      </x:c>
      <x:c r="N11" s="66" t="n">
        <x:v>447.91666666666663</x:v>
      </x:c>
      <x:c r="O11" s="66" t="n">
        <x:v>520.8333333333334</x:v>
      </x:c>
      <x:c r="P11" s="66" t="n">
        <x:v>593.75</x:v>
      </x:c>
      <x:c r="Q11" s="66" t="n">
        <x:v>666.6666666666667</x:v>
      </x:c>
      <x:c r="R11" s="66" t="n">
        <x:v>739.5833333333335</x:v>
      </x:c>
      <x:c r="S11" s="66" t="n">
        <x:v>812.5</x:v>
      </x:c>
      <x:c r="T11" s="66" t="n">
        <x:v>885.4166666666665</x:v>
      </x:c>
      <x:c r="U11" s="66" t="n">
        <x:v>958.3333333333335</x:v>
      </x:c>
      <x:c r="V11" s="66" t="n">
        <x:v>1031.25</x:v>
      </x:c>
      <x:c r="W11" s="66" t="n">
        <x:v>1104.1666666666667</x:v>
      </x:c>
      <x:c r="X11" s="66" t="n">
        <x:v>1177.0833333333333</x:v>
      </x:c>
      <x:c r="Y11" s="66" t="n">
        <x:v>1250</x:v>
      </x:c>
    </x:row>
    <x:row r="12">
      <x:c r="A12" s="65" t="str">
        <x:v>Gesamtumsatz</x:v>
      </x:c>
      <x:c r="B12" s="66" t="n">
        <x:v>40</x:v>
      </x:c>
      <x:c r="C12" s="66" t="n">
        <x:v>70.45454545454545</x:v>
      </x:c>
      <x:c r="D12" s="66" t="n">
        <x:v>253.15909090909093</x:v>
      </x:c>
      <x:c r="E12" s="66" t="n">
        <x:v>435.8636363636364</x:v>
      </x:c>
      <x:c r="F12" s="66" t="n">
        <x:v>618.5681818181819</x:v>
      </x:c>
      <x:c r="G12" s="66" t="n">
        <x:v>801.2727272727273</x:v>
      </x:c>
      <x:c r="H12" s="66" t="n">
        <x:v>983.9772727272727</x:v>
      </x:c>
      <x:c r="I12" s="66" t="n">
        <x:v>1166.6818181818182</x:v>
      </x:c>
      <x:c r="J12" s="66" t="n">
        <x:v>1349.3863636363635</x:v>
      </x:c>
      <x:c r="K12" s="66" t="n">
        <x:v>1532.090909090909</x:v>
      </x:c>
      <x:c r="L12" s="66" t="n">
        <x:v>1714.7954545454545</x:v>
      </x:c>
      <x:c r="M12" s="66" t="n">
        <x:v>1897.5</x:v>
      </x:c>
      <x:c r="N12" s="66" t="n">
        <x:v>2266.4583333333335</x:v>
      </x:c>
      <x:c r="O12" s="66" t="n">
        <x:v>2635.4166666666665</x:v>
      </x:c>
      <x:c r="P12" s="66" t="n">
        <x:v>3004.375</x:v>
      </x:c>
      <x:c r="Q12" s="66" t="n">
        <x:v>3373.333333333333</x:v>
      </x:c>
      <x:c r="R12" s="66" t="n">
        <x:v>3742.291666666667</x:v>
      </x:c>
      <x:c r="S12" s="66" t="n">
        <x:v>4111.25</x:v>
      </x:c>
      <x:c r="T12" s="66" t="n">
        <x:v>4480.208333333334</x:v>
      </x:c>
      <x:c r="U12" s="66" t="n">
        <x:v>4849.166666666666</x:v>
      </x:c>
      <x:c r="V12" s="66" t="n">
        <x:v>5218.125</x:v>
      </x:c>
      <x:c r="W12" s="66" t="n">
        <x:v>5587.083333333334</x:v>
      </x:c>
      <x:c r="X12" s="66" t="n">
        <x:v>5956.041666666667</x:v>
      </x:c>
      <x:c r="Y12" s="66" t="n">
        <x:v>6325</x:v>
      </x:c>
    </x:row>
    <x:row r="13">
      <x:c r="A13" s="65" t="str">
        <x:v>Variable Kosten</x:v>
      </x:c>
      <x:c r="B13" s="66" t="n">
        <x:v>0</x:v>
      </x:c>
      <x:c r="C13" s="66" t="n">
        <x:v>0</x:v>
      </x:c>
      <x:c r="D13" s="66" t="n">
        <x:v>0</x:v>
      </x:c>
      <x:c r="E13" s="66" t="n">
        <x:v>0</x:v>
      </x:c>
      <x:c r="F13" s="66" t="n">
        <x:v>0</x:v>
      </x:c>
      <x:c r="G13" s="66" t="n">
        <x:v>0</x:v>
      </x:c>
      <x:c r="H13" s="66" t="n">
        <x:v>0</x:v>
      </x:c>
      <x:c r="I13" s="66" t="n">
        <x:v>0</x:v>
      </x:c>
      <x:c r="J13" s="66" t="n">
        <x:v>0</x:v>
      </x:c>
      <x:c r="K13" s="66" t="n">
        <x:v>0</x:v>
      </x:c>
      <x:c r="L13" s="66" t="n">
        <x:v>0</x:v>
      </x:c>
      <x:c r="M13" s="66" t="n">
        <x:v>0</x:v>
      </x:c>
      <x:c r="N13" s="66" t="n">
        <x:v>0</x:v>
      </x:c>
      <x:c r="O13" s="66" t="n">
        <x:v>0</x:v>
      </x:c>
      <x:c r="P13" s="66" t="n">
        <x:v>0</x:v>
      </x:c>
      <x:c r="Q13" s="66" t="n">
        <x:v>0</x:v>
      </x:c>
      <x:c r="R13" s="66" t="n">
        <x:v>0</x:v>
      </x:c>
      <x:c r="S13" s="66" t="n">
        <x:v>0</x:v>
      </x:c>
      <x:c r="T13" s="66" t="n">
        <x:v>0</x:v>
      </x:c>
      <x:c r="U13" s="66" t="n">
        <x:v>0</x:v>
      </x:c>
      <x:c r="V13" s="66" t="n">
        <x:v>0</x:v>
      </x:c>
      <x:c r="W13" s="66" t="n">
        <x:v>0</x:v>
      </x:c>
      <x:c r="X13" s="66" t="n">
        <x:v>0</x:v>
      </x:c>
      <x:c r="Y13" s="66" t="n">
        <x:v>0</x:v>
      </x:c>
    </x:row>
    <x:row r="14">
      <x:c r="A14" s="76" t="str">
        <x:v>Rohertrag</x:v>
      </x:c>
      <x:c r="B14" s="77" t="n">
        <x:f>B12-B13</x:f>
        <x:v>40</x:v>
      </x:c>
      <x:c r="C14" s="77" t="n">
        <x:f>C12-C13</x:f>
        <x:v>70.45454545454545</x:v>
      </x:c>
      <x:c r="D14" s="77" t="n">
        <x:f>D12-D13</x:f>
        <x:v>253.15909090909093</x:v>
      </x:c>
      <x:c r="E14" s="77" t="n">
        <x:f>E12-E13</x:f>
        <x:v>435.8636363636364</x:v>
      </x:c>
      <x:c r="F14" s="77" t="n">
        <x:f>F12-F13</x:f>
        <x:v>618.5681818181819</x:v>
      </x:c>
      <x:c r="G14" s="77" t="n">
        <x:f>G12-G13</x:f>
        <x:v>801.2727272727273</x:v>
      </x:c>
      <x:c r="H14" s="77" t="n">
        <x:f>H12-H13</x:f>
        <x:v>983.9772727272727</x:v>
      </x:c>
      <x:c r="I14" s="77" t="n">
        <x:f>I12-I13</x:f>
        <x:v>1166.6818181818182</x:v>
      </x:c>
      <x:c r="J14" s="77" t="n">
        <x:f>J12-J13</x:f>
        <x:v>1349.3863636363635</x:v>
      </x:c>
      <x:c r="K14" s="77" t="n">
        <x:f>K12-K13</x:f>
        <x:v>1532.090909090909</x:v>
      </x:c>
      <x:c r="L14" s="77" t="n">
        <x:f>L12-L13</x:f>
        <x:v>1714.7954545454545</x:v>
      </x:c>
      <x:c r="M14" s="77" t="n">
        <x:f>M12-M13</x:f>
        <x:v>1897.5</x:v>
      </x:c>
      <x:c r="N14" s="77" t="n">
        <x:f>N12-N13</x:f>
        <x:v>2266.4583333333335</x:v>
      </x:c>
      <x:c r="O14" s="77" t="n">
        <x:f>O12-O13</x:f>
        <x:v>2635.4166666666665</x:v>
      </x:c>
      <x:c r="P14" s="77" t="n">
        <x:f>P12-P13</x:f>
        <x:v>3004.375</x:v>
      </x:c>
      <x:c r="Q14" s="77" t="n">
        <x:f>Q12-Q13</x:f>
        <x:v>3373.333333333333</x:v>
      </x:c>
      <x:c r="R14" s="77" t="n">
        <x:f>R12-R13</x:f>
        <x:v>3742.291666666667</x:v>
      </x:c>
      <x:c r="S14" s="77" t="n">
        <x:f>S12-S13</x:f>
        <x:v>4111.25</x:v>
      </x:c>
      <x:c r="T14" s="77" t="n">
        <x:f>T12-T13</x:f>
        <x:v>4480.208333333334</x:v>
      </x:c>
      <x:c r="U14" s="77" t="n">
        <x:f>U12-U13</x:f>
        <x:v>4849.166666666666</x:v>
      </x:c>
      <x:c r="V14" s="77" t="n">
        <x:f>V12-V13</x:f>
        <x:v>5218.125</x:v>
      </x:c>
      <x:c r="W14" s="77" t="n">
        <x:f>W12-W13</x:f>
        <x:v>5587.083333333334</x:v>
      </x:c>
      <x:c r="X14" s="77" t="n">
        <x:f>X12-X13</x:f>
        <x:v>5956.041666666667</x:v>
      </x:c>
      <x:c r="Y14" s="77" t="n">
        <x:f>Y12-Y13</x:f>
        <x:v>6325</x:v>
      </x:c>
    </x:row>
    <x:row r="15">
      <x:c r="A15" s="65" t="str">
        <x:v>Bruttomarge</x:v>
      </x:c>
      <x:c r="B15" s="74" t="n">
        <x:f>IF(B12=0,0,B14/B12)</x:f>
        <x:v>1</x:v>
      </x:c>
      <x:c r="C15" s="74" t="n">
        <x:f>IF(C12=0,0,C14/C12)</x:f>
        <x:v>1</x:v>
      </x:c>
      <x:c r="D15" s="74" t="n">
        <x:f>IF(D12=0,0,D14/D12)</x:f>
        <x:v>1</x:v>
      </x:c>
      <x:c r="E15" s="74" t="n">
        <x:f>IF(E12=0,0,E14/E12)</x:f>
        <x:v>1</x:v>
      </x:c>
      <x:c r="F15" s="74" t="n">
        <x:f>IF(F12=0,0,F14/F12)</x:f>
        <x:v>1</x:v>
      </x:c>
      <x:c r="G15" s="74" t="n">
        <x:f>IF(G12=0,0,G14/G12)</x:f>
        <x:v>1</x:v>
      </x:c>
      <x:c r="H15" s="74" t="n">
        <x:f>IF(H12=0,0,H14/H12)</x:f>
        <x:v>1</x:v>
      </x:c>
      <x:c r="I15" s="74" t="n">
        <x:f>IF(I12=0,0,I14/I12)</x:f>
        <x:v>1</x:v>
      </x:c>
      <x:c r="J15" s="74" t="n">
        <x:f>IF(J12=0,0,J14/J12)</x:f>
        <x:v>1</x:v>
      </x:c>
      <x:c r="K15" s="74" t="n">
        <x:f>IF(K12=0,0,K14/K12)</x:f>
        <x:v>1</x:v>
      </x:c>
      <x:c r="L15" s="74" t="n">
        <x:f>IF(L12=0,0,L14/L12)</x:f>
        <x:v>1</x:v>
      </x:c>
      <x:c r="M15" s="74" t="n">
        <x:f>IF(M12=0,0,M14/M12)</x:f>
        <x:v>1</x:v>
      </x:c>
      <x:c r="N15" s="74" t="n">
        <x:f>IF(N12=0,0,N14/N12)</x:f>
        <x:v>1</x:v>
      </x:c>
      <x:c r="O15" s="74" t="n">
        <x:f>IF(O12=0,0,O14/O12)</x:f>
        <x:v>1</x:v>
      </x:c>
      <x:c r="P15" s="74" t="n">
        <x:f>IF(P12=0,0,P14/P12)</x:f>
        <x:v>1</x:v>
      </x:c>
      <x:c r="Q15" s="74" t="n">
        <x:f>IF(Q12=0,0,Q14/Q12)</x:f>
        <x:v>1</x:v>
      </x:c>
      <x:c r="R15" s="74" t="n">
        <x:f>IF(R12=0,0,R14/R12)</x:f>
        <x:v>1</x:v>
      </x:c>
      <x:c r="S15" s="74" t="n">
        <x:f>IF(S12=0,0,S14/S12)</x:f>
        <x:v>1</x:v>
      </x:c>
      <x:c r="T15" s="74" t="n">
        <x:f>IF(T12=0,0,T14/T12)</x:f>
        <x:v>1</x:v>
      </x:c>
      <x:c r="U15" s="74" t="n">
        <x:f>IF(U12=0,0,U14/U12)</x:f>
        <x:v>1</x:v>
      </x:c>
      <x:c r="V15" s="74" t="n">
        <x:f>IF(V12=0,0,V14/V12)</x:f>
        <x:v>1</x:v>
      </x:c>
      <x:c r="W15" s="74" t="n">
        <x:f>IF(W12=0,0,W14/W12)</x:f>
        <x:v>1</x:v>
      </x:c>
      <x:c r="X15" s="74" t="n">
        <x:f>IF(X12=0,0,X14/X12)</x:f>
        <x:v>1</x:v>
      </x:c>
      <x:c r="Y15" s="74" t="n">
        <x:f>IF(Y12=0,0,Y14/Y12)</x:f>
        <x:v>1</x:v>
      </x:c>
    </x:row>
    <x:row r="16">
      <x:c r="A16" s="65" t="str">
        <x:v>Fixkosten</x:v>
      </x:c>
      <x:c r="B16" s="66" t="n">
        <x:v>785</x:v>
      </x:c>
      <x:c r="C16" s="66" t="n">
        <x:v>935</x:v>
      </x:c>
      <x:c r="D16" s="66" t="n">
        <x:v>935</x:v>
      </x:c>
      <x:c r="E16" s="66" t="n">
        <x:v>935</x:v>
      </x:c>
      <x:c r="F16" s="66" t="n">
        <x:v>935</x:v>
      </x:c>
      <x:c r="G16" s="66" t="n">
        <x:v>935</x:v>
      </x:c>
      <x:c r="H16" s="66" t="n">
        <x:v>935</x:v>
      </x:c>
      <x:c r="I16" s="66" t="n">
        <x:v>935</x:v>
      </x:c>
      <x:c r="J16" s="66" t="n">
        <x:v>935</x:v>
      </x:c>
      <x:c r="K16" s="66" t="n">
        <x:v>935</x:v>
      </x:c>
      <x:c r="L16" s="66" t="n">
        <x:v>935</x:v>
      </x:c>
      <x:c r="M16" s="66" t="n">
        <x:v>935</x:v>
      </x:c>
      <x:c r="N16" s="66" t="n">
        <x:v>935</x:v>
      </x:c>
      <x:c r="O16" s="66" t="n">
        <x:v>935</x:v>
      </x:c>
      <x:c r="P16" s="66" t="n">
        <x:v>935</x:v>
      </x:c>
      <x:c r="Q16" s="66" t="n">
        <x:v>935</x:v>
      </x:c>
      <x:c r="R16" s="66" t="n">
        <x:v>935</x:v>
      </x:c>
      <x:c r="S16" s="66" t="n">
        <x:v>935</x:v>
      </x:c>
      <x:c r="T16" s="66" t="n">
        <x:v>935</x:v>
      </x:c>
      <x:c r="U16" s="66" t="n">
        <x:v>935</x:v>
      </x:c>
      <x:c r="V16" s="66" t="n">
        <x:v>935</x:v>
      </x:c>
      <x:c r="W16" s="66" t="n">
        <x:v>935</x:v>
      </x:c>
      <x:c r="X16" s="66" t="n">
        <x:v>935</x:v>
      </x:c>
      <x:c r="Y16" s="66" t="n">
        <x:v>935</x:v>
      </x:c>
    </x:row>
    <x:row r="17">
      <x:c r="A17" s="65" t="str">
        <x:v>Einmalkosten</x:v>
      </x:c>
      <x:c r="B17" s="66" t="n">
        <x:v>1500</x:v>
      </x:c>
      <x:c r="C17" s="66" t="n">
        <x:v>1200</x:v>
      </x:c>
      <x:c r="D17" s="66" t="n">
        <x:v>1000</x:v>
      </x:c>
      <x:c r="E17" s="66" t="n">
        <x:v>0</x:v>
      </x:c>
      <x:c r="F17" s="66" t="n">
        <x:v>0</x:v>
      </x:c>
      <x:c r="G17" s="66" t="n">
        <x:v>0</x:v>
      </x:c>
      <x:c r="H17" s="66" t="n">
        <x:v>0</x:v>
      </x:c>
      <x:c r="I17" s="66" t="n">
        <x:v>0</x:v>
      </x:c>
      <x:c r="J17" s="66" t="n">
        <x:v>0</x:v>
      </x:c>
      <x:c r="K17" s="66" t="n">
        <x:v>0</x:v>
      </x:c>
      <x:c r="L17" s="66" t="n">
        <x:v>0</x:v>
      </x:c>
      <x:c r="M17" s="66" t="n">
        <x:v>0</x:v>
      </x:c>
      <x:c r="N17" s="66" t="n">
        <x:v>0</x:v>
      </x:c>
      <x:c r="O17" s="66" t="n">
        <x:v>0</x:v>
      </x:c>
      <x:c r="P17" s="66" t="n">
        <x:v>0</x:v>
      </x:c>
      <x:c r="Q17" s="66" t="n">
        <x:v>0</x:v>
      </x:c>
      <x:c r="R17" s="66" t="n">
        <x:v>0</x:v>
      </x:c>
      <x:c r="S17" s="66" t="n">
        <x:v>0</x:v>
      </x:c>
      <x:c r="T17" s="66" t="n">
        <x:v>0</x:v>
      </x:c>
      <x:c r="U17" s="66" t="n">
        <x:v>0</x:v>
      </x:c>
      <x:c r="V17" s="66" t="n">
        <x:v>0</x:v>
      </x:c>
      <x:c r="W17" s="66" t="n">
        <x:v>0</x:v>
      </x:c>
      <x:c r="X17" s="66" t="n">
        <x:v>0</x:v>
      </x:c>
      <x:c r="Y17" s="66" t="n">
        <x:v>0</x:v>
      </x:c>
    </x:row>
    <x:row r="18">
      <x:c r="A18" s="65" t="str">
        <x:v>EBITDA</x:v>
      </x:c>
      <x:c r="B18" s="65" t="n">
        <x:v>-2245</x:v>
      </x:c>
      <x:c r="C18" s="65" t="n">
        <x:v>-2064.5454545454545</x:v>
      </x:c>
      <x:c r="D18" s="65" t="n">
        <x:v>-1681.840909090909</x:v>
      </x:c>
      <x:c r="E18" s="65" t="n">
        <x:v>-499.1363636363636</x:v>
      </x:c>
      <x:c r="F18" s="65" t="n">
        <x:v>-316.43181818181813</x:v>
      </x:c>
      <x:c r="G18" s="65" t="n">
        <x:v>-133.72727272727275</x:v>
      </x:c>
      <x:c r="H18" s="65" t="n">
        <x:v>48.97727272727275</x:v>
      </x:c>
      <x:c r="I18" s="65" t="n">
        <x:v>231.68181818181824</x:v>
      </x:c>
      <x:c r="J18" s="65" t="n">
        <x:v>414.3863636363635</x:v>
      </x:c>
      <x:c r="K18" s="65" t="n">
        <x:v>597.090909090909</x:v>
      </x:c>
      <x:c r="L18" s="65" t="n">
        <x:v>779.7954545454545</x:v>
      </x:c>
      <x:c r="M18" s="65" t="n">
        <x:v>962.5</x:v>
      </x:c>
      <x:c r="N18" s="65" t="n">
        <x:v>1331.4583333333335</x:v>
      </x:c>
      <x:c r="O18" s="65" t="n">
        <x:v>1700.4166666666665</x:v>
      </x:c>
      <x:c r="P18" s="65" t="n">
        <x:v>2069.375</x:v>
      </x:c>
      <x:c r="Q18" s="65" t="n">
        <x:v>2438.333333333333</x:v>
      </x:c>
      <x:c r="R18" s="65" t="n">
        <x:v>2807.291666666667</x:v>
      </x:c>
      <x:c r="S18" s="65" t="n">
        <x:v>3176.25</x:v>
      </x:c>
      <x:c r="T18" s="65" t="n">
        <x:v>3545.208333333334</x:v>
      </x:c>
      <x:c r="U18" s="65" t="n">
        <x:v>3914.166666666666</x:v>
      </x:c>
      <x:c r="V18" s="65" t="n">
        <x:v>4283.125</x:v>
      </x:c>
      <x:c r="W18" s="65" t="n">
        <x:v>4652.083333333334</x:v>
      </x:c>
      <x:c r="X18" s="65" t="n">
        <x:v>5021.041666666667</x:v>
      </x:c>
      <x:c r="Y18" s="65" t="n">
        <x:v>5390</x:v>
      </x:c>
    </x:row>
    <x:row r="19">
      <x:c r="A19" s="76" t="str">
        <x:v>EBITDA-Marge</x:v>
      </x:c>
      <x:c r="B19" s="77" t="n">
        <x:f>B12-B13-B16-B17</x:f>
        <x:v>-2245</x:v>
      </x:c>
      <x:c r="C19" s="77" t="n">
        <x:f>C12-C13-C16-C17</x:f>
        <x:v>-2064.5454545454545</x:v>
      </x:c>
      <x:c r="D19" s="77" t="n">
        <x:f>D12-D13-D16-D17</x:f>
        <x:v>-1681.840909090909</x:v>
      </x:c>
      <x:c r="E19" s="77" t="n">
        <x:f>E12-E13-E16-E17</x:f>
        <x:v>-499.1363636363636</x:v>
      </x:c>
      <x:c r="F19" s="77" t="n">
        <x:f>F12-F13-F16-F17</x:f>
        <x:v>-316.43181818181813</x:v>
      </x:c>
      <x:c r="G19" s="77" t="n">
        <x:f>G12-G13-G16-G17</x:f>
        <x:v>-133.72727272727275</x:v>
      </x:c>
      <x:c r="H19" s="77" t="n">
        <x:f>H12-H13-H16-H17</x:f>
        <x:v>48.97727272727275</x:v>
      </x:c>
      <x:c r="I19" s="77" t="n">
        <x:f>I12-I13-I16-I17</x:f>
        <x:v>231.68181818181824</x:v>
      </x:c>
      <x:c r="J19" s="77" t="n">
        <x:f>J12-J13-J16-J17</x:f>
        <x:v>414.3863636363635</x:v>
      </x:c>
      <x:c r="K19" s="77" t="n">
        <x:f>K12-K13-K16-K17</x:f>
        <x:v>597.090909090909</x:v>
      </x:c>
      <x:c r="L19" s="77" t="n">
        <x:f>L12-L13-L16-L17</x:f>
        <x:v>779.7954545454545</x:v>
      </x:c>
      <x:c r="M19" s="77" t="n">
        <x:f>M12-M13-M16-M17</x:f>
        <x:v>962.5</x:v>
      </x:c>
      <x:c r="N19" s="77" t="n">
        <x:f>N12-N13-N16-N17</x:f>
        <x:v>1331.4583333333335</x:v>
      </x:c>
      <x:c r="O19" s="77" t="n">
        <x:f>O12-O13-O16-O17</x:f>
        <x:v>1700.4166666666665</x:v>
      </x:c>
      <x:c r="P19" s="77" t="n">
        <x:f>P12-P13-P16-P17</x:f>
        <x:v>2069.375</x:v>
      </x:c>
      <x:c r="Q19" s="77" t="n">
        <x:f>Q12-Q13-Q16-Q17</x:f>
        <x:v>2438.333333333333</x:v>
      </x:c>
      <x:c r="R19" s="77" t="n">
        <x:f>R12-R13-R16-R17</x:f>
        <x:v>2807.291666666667</x:v>
      </x:c>
      <x:c r="S19" s="77" t="n">
        <x:f>S12-S13-S16-S17</x:f>
        <x:v>3176.25</x:v>
      </x:c>
      <x:c r="T19" s="77" t="n">
        <x:f>T12-T13-T16-T17</x:f>
        <x:v>3545.208333333334</x:v>
      </x:c>
      <x:c r="U19" s="77" t="n">
        <x:f>U12-U13-U16-U17</x:f>
        <x:v>3914.166666666666</x:v>
      </x:c>
      <x:c r="V19" s="77" t="n">
        <x:f>V12-V13-V16-V17</x:f>
        <x:v>4283.125</x:v>
      </x:c>
      <x:c r="W19" s="77" t="n">
        <x:f>W12-W13-W16-W17</x:f>
        <x:v>4652.083333333334</x:v>
      </x:c>
      <x:c r="X19" s="77" t="n">
        <x:f>X12-X13-X16-X17</x:f>
        <x:v>5021.041666666667</x:v>
      </x:c>
      <x:c r="Y19" s="77" t="n">
        <x:f>Y12-Y13-Y16-Y17</x:f>
        <x:v>5390</x:v>
      </x:c>
    </x:row>
    <x:row r="20">
      <x:c r="A20" s="65" t="str">
        <x:v>Abschreibungen</x:v>
      </x:c>
      <x:c r="B20" s="74" t="n">
        <x:f>IF(B12=0,0,B19/B12)</x:f>
        <x:v>-56.125</x:v>
      </x:c>
      <x:c r="C20" s="74" t="n">
        <x:f>IF(C12=0,0,C19/C12)</x:f>
        <x:v>-29.303225806451614</x:v>
      </x:c>
      <x:c r="D20" s="74" t="n">
        <x:f>IF(D12=0,0,D19/D12)</x:f>
        <x:v>-6.643415028279018</x:v>
      </x:c>
      <x:c r="E20" s="74" t="n">
        <x:f>IF(E12=0,0,E19/E12)</x:f>
        <x:v>-1.145166336427156</x:v>
      </x:c>
      <x:c r="F20" s="74" t="n">
        <x:f>IF(F12=0,0,F19/F12)</x:f>
        <x:v>-0.5115552779512803</x:v>
      </x:c>
      <x:c r="G20" s="74" t="n">
        <x:f>IF(G12=0,0,G19/G12)</x:f>
        <x:v>-0.1668935783980032</x:v>
      </x:c>
      <x:c r="H20" s="74" t="n">
        <x:f>IF(H12=0,0,H19/H12)</x:f>
        <x:v>0.0497748007853101</x:v>
      </x:c>
      <x:c r="I20" s="74" t="n">
        <x:f>IF(I12=0,0,I19/I12)</x:f>
        <x:v>0.19858183659952472</x:v>
      </x:c>
      <x:c r="J20" s="74" t="n">
        <x:f>IF(J12=0,0,J19/J12)</x:f>
        <x:v>0.30709244942987546</x:v>
      </x:c>
      <x:c r="K20" s="74" t="n">
        <x:f>IF(K12=0,0,K19/K12)</x:f>
        <x:v>0.389722898000356</x:v>
      </x:c>
      <x:c r="L20" s="74" t="n">
        <x:f>IF(L12=0,0,L19/L12)</x:f>
        <x:v>0.45474546394348647</x:v>
      </x:c>
      <x:c r="M20" s="74" t="n">
        <x:f>IF(M12=0,0,M19/M12)</x:f>
        <x:v>0.5072463768115942</x:v>
      </x:c>
      <x:c r="N20" s="74" t="n">
        <x:f>IF(N12=0,0,N19/N12)</x:f>
        <x:v>0.5874620829120324</x:v>
      </x:c>
      <x:c r="O20" s="74" t="n">
        <x:f>IF(O12=0,0,O19/O12)</x:f>
        <x:v>0.6452173913043479</x:v>
      </x:c>
      <x:c r="P20" s="74" t="n">
        <x:f>IF(P12=0,0,P19/P12)</x:f>
        <x:v>0.6887871853546911</x:v>
      </x:c>
      <x:c r="Q20" s="74" t="n">
        <x:f>IF(Q12=0,0,Q19/Q12)</x:f>
        <x:v>0.7228260869565217</x:v>
      </x:c>
      <x:c r="R20" s="74" t="n">
        <x:f>IF(R12=0,0,R19/R12)</x:f>
        <x:v>0.7501530924678506</x:v>
      </x:c>
      <x:c r="S20" s="74" t="n">
        <x:f>IF(S12=0,0,S19/S12)</x:f>
        <x:v>0.7725752508361204</x:v>
      </x:c>
      <x:c r="T20" s="74" t="n">
        <x:f>IF(T12=0,0,T19/T12)</x:f>
        <x:v>0.7913043478260869</x:v>
      </x:c>
      <x:c r="U20" s="74" t="n">
        <x:f>IF(U12=0,0,U19/U12)</x:f>
        <x:v>0.8071833648393194</x:v>
      </x:c>
      <x:c r="V20" s="74" t="n">
        <x:f>IF(V12=0,0,V19/V12)</x:f>
        <x:v>0.8208168642951251</x:v>
      </x:c>
      <x:c r="W20" s="74" t="n">
        <x:f>IF(W12=0,0,W19/W12)</x:f>
        <x:v>0.8326497128794094</x:v>
      </x:c>
      <x:c r="X20" s="74" t="n">
        <x:f>IF(X12=0,0,X19/X12)</x:f>
        <x:v>0.8430165448249327</x:v>
      </x:c>
      <x:c r="Y20" s="74" t="n">
        <x:f>IF(Y12=0,0,Y19/Y12)</x:f>
        <x:v>0.8521739130434782</x:v>
      </x:c>
    </x:row>
    <x:row r="21">
      <x:c r="A21" s="65" t="str">
        <x:v>EBIT</x:v>
      </x:c>
      <x:c r="B21" s="66" t="n">
        <x:v>-2245</x:v>
      </x:c>
      <x:c r="C21" s="66" t="n">
        <x:v>-2064.5454545454545</x:v>
      </x:c>
      <x:c r="D21" s="66" t="n">
        <x:v>-1715.1742424242423</x:v>
      </x:c>
      <x:c r="E21" s="66" t="n">
        <x:v>-532.469696969697</x:v>
      </x:c>
      <x:c r="F21" s="66" t="n">
        <x:v>-349.76515151515144</x:v>
      </x:c>
      <x:c r="G21" s="66" t="n">
        <x:v>-167.0606060606061</x:v>
      </x:c>
      <x:c r="H21" s="66" t="n">
        <x:v>15.643939393939412</x:v>
      </x:c>
      <x:c r="I21" s="66" t="n">
        <x:v>198.3484848484849</x:v>
      </x:c>
      <x:c r="J21" s="66" t="n">
        <x:v>381.0530303030302</x:v>
      </x:c>
      <x:c r="K21" s="66" t="n">
        <x:v>563.7575757575756</x:v>
      </x:c>
      <x:c r="L21" s="66" t="n">
        <x:v>746.4621212121211</x:v>
      </x:c>
      <x:c r="M21" s="66" t="n">
        <x:v>929.1666666666666</x:v>
      </x:c>
      <x:c r="N21" s="66" t="n">
        <x:v>1298.1250000000002</x:v>
      </x:c>
      <x:c r="O21" s="66" t="n">
        <x:v>1667.0833333333333</x:v>
      </x:c>
      <x:c r="P21" s="66" t="n">
        <x:v>2036.0416666666667</x:v>
      </x:c>
      <x:c r="Q21" s="66" t="n">
        <x:v>2404.9999999999995</x:v>
      </x:c>
      <x:c r="R21" s="66" t="n">
        <x:v>2773.9583333333335</x:v>
      </x:c>
      <x:c r="S21" s="66" t="n">
        <x:v>3142.9166666666665</x:v>
      </x:c>
      <x:c r="T21" s="66" t="n">
        <x:v>3511.8750000000005</x:v>
      </x:c>
      <x:c r="U21" s="66" t="n">
        <x:v>3880.8333333333326</x:v>
      </x:c>
      <x:c r="V21" s="66" t="n">
        <x:v>4249.791666666667</x:v>
      </x:c>
      <x:c r="W21" s="66" t="n">
        <x:v>4618.750000000001</x:v>
      </x:c>
      <x:c r="X21" s="66" t="n">
        <x:v>4987.708333333334</x:v>
      </x:c>
      <x:c r="Y21" s="66" t="n">
        <x:v>5356.666666666667</x:v>
      </x:c>
    </x:row>
    <x:row r="22">
      <x:c r="A22" s="65" t="str">
        <x:v>Steueraufwand</x:v>
      </x:c>
      <x:c r="B22" s="66" t="n">
        <x:v>0</x:v>
      </x:c>
      <x:c r="C22" s="66" t="n">
        <x:v>0</x:v>
      </x:c>
      <x:c r="D22" s="66" t="n">
        <x:v>0</x:v>
      </x:c>
      <x:c r="E22" s="66" t="n">
        <x:v>0</x:v>
      </x:c>
      <x:c r="F22" s="66" t="n">
        <x:v>0</x:v>
      </x:c>
      <x:c r="G22" s="66" t="n">
        <x:v>0</x:v>
      </x:c>
      <x:c r="H22" s="66" t="n">
        <x:v>0</x:v>
      </x:c>
      <x:c r="I22" s="66" t="n">
        <x:v>0</x:v>
      </x:c>
      <x:c r="J22" s="66" t="n">
        <x:v>0</x:v>
      </x:c>
      <x:c r="K22" s="66" t="n">
        <x:v>0</x:v>
      </x:c>
      <x:c r="L22" s="66" t="n">
        <x:v>0</x:v>
      </x:c>
      <x:c r="M22" s="66" t="n">
        <x:v>0</x:v>
      </x:c>
      <x:c r="N22" s="66" t="n">
        <x:v>0</x:v>
      </x:c>
      <x:c r="O22" s="66" t="n">
        <x:v>0</x:v>
      </x:c>
      <x:c r="P22" s="66" t="n">
        <x:v>251.15958333333373</x:v>
      </x:c>
      <x:c r="Q22" s="66" t="n">
        <x:v>793.0487499999998</x:v>
      </x:c>
      <x:c r="R22" s="66" t="n">
        <x:v>914.7127604166667</x:v>
      </x:c>
      <x:c r="S22" s="66" t="n">
        <x:v>1036.3767708333332</x:v>
      </x:c>
      <x:c r="T22" s="66" t="n">
        <x:v>1158.04078125</x:v>
      </x:c>
      <x:c r="U22" s="66" t="n">
        <x:v>1279.7047916666663</x:v>
      </x:c>
      <x:c r="V22" s="66" t="n">
        <x:v>1401.3688020833333</x:v>
      </x:c>
      <x:c r="W22" s="66" t="n">
        <x:v>1523.0328125000003</x:v>
      </x:c>
      <x:c r="X22" s="66" t="n">
        <x:v>1644.6968229166669</x:v>
      </x:c>
      <x:c r="Y22" s="66" t="n">
        <x:v>1766.3608333333334</x:v>
      </x:c>
    </x:row>
    <x:row r="23">
      <x:c r="A23" s="65" t="str">
        <x:v>Jahresfehlbetrag/-überschuss</x:v>
      </x:c>
      <x:c r="B23" s="66" t="n">
        <x:v>-2245</x:v>
      </x:c>
      <x:c r="C23" s="66" t="n">
        <x:v>-2064.5454545454545</x:v>
      </x:c>
      <x:c r="D23" s="66" t="n">
        <x:v>-1715.1742424242423</x:v>
      </x:c>
      <x:c r="E23" s="66" t="n">
        <x:v>-532.469696969697</x:v>
      </x:c>
      <x:c r="F23" s="66" t="n">
        <x:v>-349.76515151515144</x:v>
      </x:c>
      <x:c r="G23" s="66" t="n">
        <x:v>-167.0606060606061</x:v>
      </x:c>
      <x:c r="H23" s="66" t="n">
        <x:v>15.643939393939412</x:v>
      </x:c>
      <x:c r="I23" s="66" t="n">
        <x:v>198.3484848484849</x:v>
      </x:c>
      <x:c r="J23" s="66" t="n">
        <x:v>381.0530303030302</x:v>
      </x:c>
      <x:c r="K23" s="66" t="n">
        <x:v>563.7575757575756</x:v>
      </x:c>
      <x:c r="L23" s="66" t="n">
        <x:v>746.4621212121211</x:v>
      </x:c>
      <x:c r="M23" s="66" t="n">
        <x:v>929.1666666666666</x:v>
      </x:c>
      <x:c r="N23" s="66" t="n">
        <x:v>1298.1250000000002</x:v>
      </x:c>
      <x:c r="O23" s="66" t="n">
        <x:v>1667.0833333333333</x:v>
      </x:c>
      <x:c r="P23" s="66" t="n">
        <x:v>1784.882083333333</x:v>
      </x:c>
      <x:c r="Q23" s="66" t="n">
        <x:v>1611.9512499999996</x:v>
      </x:c>
      <x:c r="R23" s="66" t="n">
        <x:v>1859.2455729166668</x:v>
      </x:c>
      <x:c r="S23" s="66" t="n">
        <x:v>2106.5398958333335</x:v>
      </x:c>
      <x:c r="T23" s="66" t="n">
        <x:v>2353.83421875</x:v>
      </x:c>
      <x:c r="U23" s="66" t="n">
        <x:v>2601.128541666666</x:v>
      </x:c>
      <x:c r="V23" s="66" t="n">
        <x:v>2848.4228645833336</x:v>
      </x:c>
      <x:c r="W23" s="66" t="n">
        <x:v>3095.7171875000004</x:v>
      </x:c>
      <x:c r="X23" s="66" t="n">
        <x:v>3343.011510416667</x:v>
      </x:c>
      <x:c r="Y23" s="66" t="n">
        <x:v>3590.305833333334</x:v>
      </x:c>
    </x:row>
    <x:row r="24">
      <x:c r="A24" s="65" t="str">
        <x:v>Cash-Eingänge</x:v>
      </x:c>
      <x:c r="B24" s="66" t="n">
        <x:v>40</x:v>
      </x:c>
      <x:c r="C24" s="66" t="n">
        <x:v>70.45454545454545</x:v>
      </x:c>
      <x:c r="D24" s="66" t="n">
        <x:v>786.0340909090908</x:v>
      </x:c>
      <x:c r="E24" s="66" t="n">
        <x:v>927.1743863636362</x:v>
      </x:c>
      <x:c r="F24" s="66" t="n">
        <x:v>1068.3146818181817</x:v>
      </x:c>
      <x:c r="G24" s="66" t="n">
        <x:v>1209.4549772727273</x:v>
      </x:c>
      <x:c r="H24" s="66" t="n">
        <x:v>1350.5952727272727</x:v>
      </x:c>
      <x:c r="I24" s="66" t="n">
        <x:v>1491.7355681818183</x:v>
      </x:c>
      <x:c r="J24" s="66" t="n">
        <x:v>1632.8758636363636</x:v>
      </x:c>
      <x:c r="K24" s="66" t="n">
        <x:v>1774.0161590909088</x:v>
      </x:c>
      <x:c r="L24" s="66" t="n">
        <x:v>1915.1564545454544</x:v>
      </x:c>
      <x:c r="M24" s="66" t="n">
        <x:v>2056.29675</x:v>
      </x:c>
      <x:c r="N24" s="66" t="n">
        <x:v>2886.961666666667</x:v>
      </x:c>
      <x:c r="O24" s="66" t="n">
        <x:v>3175.1006249999987</x:v>
      </x:c>
      <x:c r="P24" s="66" t="n">
        <x:v>3932.1695833333333</x:v>
      </x:c>
      <x:c r="Q24" s="66" t="n">
        <x:v>4229.687141666665</x:v>
      </x:c>
      <x:c r="R24" s="66" t="n">
        <x:v>4527.204700000002</x:v>
      </x:c>
      <x:c r="S24" s="66" t="n">
        <x:v>4824.722258333332</x:v>
      </x:c>
      <x:c r="T24" s="66" t="n">
        <x:v>5122.239816666668</x:v>
      </x:c>
      <x:c r="U24" s="66" t="n">
        <x:v>5419.757374999996</x:v>
      </x:c>
      <x:c r="V24" s="66" t="n">
        <x:v>5717.274933333336</x:v>
      </x:c>
      <x:c r="W24" s="66" t="n">
        <x:v>6014.792491666668</x:v>
      </x:c>
      <x:c r="X24" s="66" t="n">
        <x:v>6312.310049999999</x:v>
      </x:c>
      <x:c r="Y24" s="66" t="n">
        <x:v>6609.827608333333</x:v>
      </x:c>
    </x:row>
    <x:row r="25">
      <x:c r="A25" s="76" t="str">
        <x:v>Investitionen</x:v>
      </x:c>
      <x:c r="B25" s="77" t="n">
        <x:v>0</x:v>
      </x:c>
      <x:c r="C25" s="77" t="n">
        <x:v>0</x:v>
      </x:c>
      <x:c r="D25" s="77" t="n">
        <x:v>1200</x:v>
      </x:c>
      <x:c r="E25" s="77" t="n">
        <x:v>0</x:v>
      </x:c>
      <x:c r="F25" s="77" t="n">
        <x:v>0</x:v>
      </x:c>
      <x:c r="G25" s="77" t="n">
        <x:v>0</x:v>
      </x:c>
      <x:c r="H25" s="77" t="n">
        <x:v>0</x:v>
      </x:c>
      <x:c r="I25" s="77" t="n">
        <x:v>0</x:v>
      </x:c>
      <x:c r="J25" s="77" t="n">
        <x:v>0</x:v>
      </x:c>
      <x:c r="K25" s="77" t="n">
        <x:v>0</x:v>
      </x:c>
      <x:c r="L25" s="77" t="n">
        <x:v>0</x:v>
      </x:c>
      <x:c r="M25" s="77" t="n">
        <x:v>0</x:v>
      </x:c>
      <x:c r="N25" s="77" t="n">
        <x:v>0</x:v>
      </x:c>
      <x:c r="O25" s="77" t="n">
        <x:v>0</x:v>
      </x:c>
      <x:c r="P25" s="77" t="n">
        <x:v>0</x:v>
      </x:c>
      <x:c r="Q25" s="77" t="n">
        <x:v>0</x:v>
      </x:c>
      <x:c r="R25" s="77" t="n">
        <x:v>0</x:v>
      </x:c>
      <x:c r="S25" s="77" t="n">
        <x:v>0</x:v>
      </x:c>
      <x:c r="T25" s="77" t="n">
        <x:v>0</x:v>
      </x:c>
      <x:c r="U25" s="77" t="n">
        <x:v>0</x:v>
      </x:c>
      <x:c r="V25" s="77" t="n">
        <x:v>0</x:v>
      </x:c>
      <x:c r="W25" s="77" t="n">
        <x:v>0</x:v>
      </x:c>
      <x:c r="X25" s="77" t="n">
        <x:v>0</x:v>
      </x:c>
      <x:c r="Y25" s="77" t="n">
        <x:v>0</x:v>
      </x:c>
    </x:row>
    <x:row r="26">
      <x:c r="A26" s="65" t="str">
        <x:v>Netto-Cashflow</x:v>
      </x:c>
      <x:c r="B26" s="66" t="n">
        <x:v>-2245</x:v>
      </x:c>
      <x:c r="C26" s="66" t="n">
        <x:v>-2064.5454545454545</x:v>
      </x:c>
      <x:c r="D26" s="66" t="n">
        <x:v>-2348.965909090909</x:v>
      </x:c>
      <x:c r="E26" s="66" t="n">
        <x:v>-7.825613636363755</x:v>
      </x:c>
      <x:c r="F26" s="66" t="n">
        <x:v>133.31468181818173</x:v>
      </x:c>
      <x:c r="G26" s="66" t="n">
        <x:v>274.4549772727273</x:v>
      </x:c>
      <x:c r="H26" s="66" t="n">
        <x:v>415.5952727272727</x:v>
      </x:c>
      <x:c r="I26" s="66" t="n">
        <x:v>556.7355681818183</x:v>
      </x:c>
      <x:c r="J26" s="66" t="n">
        <x:v>697.8758636363636</x:v>
      </x:c>
      <x:c r="K26" s="66" t="n">
        <x:v>839.0161590909088</x:v>
      </x:c>
      <x:c r="L26" s="66" t="n">
        <x:v>980.1564545454544</x:v>
      </x:c>
      <x:c r="M26" s="66" t="n">
        <x:v>1121.29675</x:v>
      </x:c>
      <x:c r="N26" s="66" t="n">
        <x:v>1951.961666666667</x:v>
      </x:c>
      <x:c r="O26" s="66" t="n">
        <x:v>2240.1006249999987</x:v>
      </x:c>
      <x:c r="P26" s="66" t="n">
        <x:v>2746.0099999999998</x:v>
      </x:c>
      <x:c r="Q26" s="66" t="n">
        <x:v>2501.6383916666655</x:v>
      </x:c>
      <x:c r="R26" s="66" t="n">
        <x:v>2677.4919395833354</x:v>
      </x:c>
      <x:c r="S26" s="66" t="n">
        <x:v>2853.345487499999</x:v>
      </x:c>
      <x:c r="T26" s="66" t="n">
        <x:v>3029.1990354166683</x:v>
      </x:c>
      <x:c r="U26" s="66" t="n">
        <x:v>3205.0525833333295</x:v>
      </x:c>
      <x:c r="V26" s="66" t="n">
        <x:v>3380.9061312500025</x:v>
      </x:c>
      <x:c r="W26" s="66" t="n">
        <x:v>3556.7596791666674</x:v>
      </x:c>
      <x:c r="X26" s="66" t="n">
        <x:v>3732.6132270833323</x:v>
      </x:c>
      <x:c r="Y26" s="66" t="n">
        <x:v>3908.466775</x:v>
      </x:c>
    </x:row>
    <x:row r="27">
      <x:c r="A27" s="65" t="str">
        <x:v>Anfangsliquidität</x:v>
      </x:c>
      <x:c r="B27" s="66" t="n">
        <x:v>2000</x:v>
      </x:c>
      <x:c r="C27" s="66" t="n">
        <x:v>-245</x:v>
      </x:c>
      <x:c r="D27" s="66" t="n">
        <x:v>-2309.5454545454545</x:v>
      </x:c>
      <x:c r="E27" s="66" t="n">
        <x:v>-4658.511363636364</x:v>
      </x:c>
      <x:c r="F27" s="66" t="n">
        <x:v>-4666.336977272727</x:v>
      </x:c>
      <x:c r="G27" s="66" t="n">
        <x:v>-4533.022295454546</x:v>
      </x:c>
      <x:c r="H27" s="66" t="n">
        <x:v>-4258.567318181818</x:v>
      </x:c>
      <x:c r="I27" s="66" t="n">
        <x:v>-3842.972045454546</x:v>
      </x:c>
      <x:c r="J27" s="66" t="n">
        <x:v>-3286.236477272728</x:v>
      </x:c>
      <x:c r="K27" s="66" t="n">
        <x:v>-2588.360613636364</x:v>
      </x:c>
      <x:c r="L27" s="66" t="n">
        <x:v>-1749.3444545454554</x:v>
      </x:c>
      <x:c r="M27" s="66" t="n">
        <x:v>-769.188000000001</x:v>
      </x:c>
      <x:c r="N27" s="66" t="n">
        <x:v>352.10874999999896</x:v>
      </x:c>
      <x:c r="O27" s="66" t="n">
        <x:v>2304.070416666666</x:v>
      </x:c>
      <x:c r="P27" s="66" t="n">
        <x:v>4544.171041666665</x:v>
      </x:c>
      <x:c r="Q27" s="66" t="n">
        <x:v>7290.181041666665</x:v>
      </x:c>
      <x:c r="R27" s="66" t="n">
        <x:v>9791.81943333333</x:v>
      </x:c>
      <x:c r="S27" s="66" t="n">
        <x:v>12469.311372916665</x:v>
      </x:c>
      <x:c r="T27" s="66" t="n">
        <x:v>15322.656860416664</x:v>
      </x:c>
      <x:c r="U27" s="66" t="n">
        <x:v>18351.85589583333</x:v>
      </x:c>
      <x:c r="V27" s="66" t="n">
        <x:v>21556.90847916666</x:v>
      </x:c>
      <x:c r="W27" s="66" t="n">
        <x:v>24937.814610416663</x:v>
      </x:c>
      <x:c r="X27" s="66" t="n">
        <x:v>28494.574289583332</x:v>
      </x:c>
      <x:c r="Y27" s="66" t="n">
        <x:v>32227.187516666665</x:v>
      </x:c>
    </x:row>
    <x:row r="28">
      <x:c r="A28" s="65" t="str">
        <x:v>Endliquidität</x:v>
      </x:c>
      <x:c r="B28" s="66" t="n">
        <x:v>-245</x:v>
      </x:c>
      <x:c r="C28" s="66" t="n">
        <x:v>-2309.5454545454545</x:v>
      </x:c>
      <x:c r="D28" s="66" t="n">
        <x:v>-4658.511363636364</x:v>
      </x:c>
      <x:c r="E28" s="66" t="n">
        <x:v>-4666.336977272727</x:v>
      </x:c>
      <x:c r="F28" s="66" t="n">
        <x:v>-4533.022295454546</x:v>
      </x:c>
      <x:c r="G28" s="66" t="n">
        <x:v>-4258.567318181818</x:v>
      </x:c>
      <x:c r="H28" s="66" t="n">
        <x:v>-3842.972045454546</x:v>
      </x:c>
      <x:c r="I28" s="66" t="n">
        <x:v>-3286.236477272728</x:v>
      </x:c>
      <x:c r="J28" s="66" t="n">
        <x:v>-2588.360613636364</x:v>
      </x:c>
      <x:c r="K28" s="66" t="n">
        <x:v>-1749.3444545454554</x:v>
      </x:c>
      <x:c r="L28" s="66" t="n">
        <x:v>-769.188000000001</x:v>
      </x:c>
      <x:c r="M28" s="66" t="n">
        <x:v>352.10874999999896</x:v>
      </x:c>
      <x:c r="N28" s="66" t="n">
        <x:v>2304.070416666666</x:v>
      </x:c>
      <x:c r="O28" s="66" t="n">
        <x:v>4544.171041666665</x:v>
      </x:c>
      <x:c r="P28" s="66" t="n">
        <x:v>7290.181041666665</x:v>
      </x:c>
      <x:c r="Q28" s="66" t="n">
        <x:v>9791.81943333333</x:v>
      </x:c>
      <x:c r="R28" s="66" t="n">
        <x:v>12469.311372916665</x:v>
      </x:c>
      <x:c r="S28" s="66" t="n">
        <x:v>15322.656860416664</x:v>
      </x:c>
      <x:c r="T28" s="66" t="n">
        <x:v>18351.85589583333</x:v>
      </x:c>
      <x:c r="U28" s="66" t="n">
        <x:v>21556.90847916666</x:v>
      </x:c>
      <x:c r="V28" s="66" t="n">
        <x:v>24937.814610416663</x:v>
      </x:c>
      <x:c r="W28" s="66" t="n">
        <x:v>28494.574289583332</x:v>
      </x:c>
      <x:c r="X28" s="66" t="n">
        <x:v>32227.187516666665</x:v>
      </x:c>
      <x:c r="Y28" s="66" t="n">
        <x:v>36135.654291666666</x:v>
      </x:c>
    </x:row>
    <x:row r="29">
      <x:c r="A29" s="65" t="str">
        <x:v>Veränderung Deferred Revenue</x:v>
      </x:c>
      <x:c r="B29" s="66" t="n">
        <x:v>0</x:v>
      </x:c>
      <x:c r="C29" s="66" t="n">
        <x:v>0</x:v>
      </x:c>
      <x:c r="D29" s="66" t="n">
        <x:v>532.8749999999998</x:v>
      </x:c>
      <x:c r="E29" s="66" t="n">
        <x:v>491.31074999999987</x:v>
      </x:c>
      <x:c r="F29" s="66" t="n">
        <x:v>449.74649999999986</x:v>
      </x:c>
      <x:c r="G29" s="66" t="n">
        <x:v>408.18225000000007</x:v>
      </x:c>
      <x:c r="H29" s="66" t="n">
        <x:v>366.61799999999994</x:v>
      </x:c>
      <x:c r="I29" s="66" t="n">
        <x:v>325.05375000000004</x:v>
      </x:c>
      <x:c r="J29" s="66" t="n">
        <x:v>283.48950000000013</x:v>
      </x:c>
      <x:c r="K29" s="66" t="n">
        <x:v>241.92524999999978</x:v>
      </x:c>
      <x:c r="L29" s="66" t="n">
        <x:v>200.36099999999988</x:v>
      </x:c>
      <x:c r="M29" s="66" t="n">
        <x:v>158.79674999999997</x:v>
      </x:c>
      <x:c r="N29" s="66" t="n">
        <x:v>620.5033333333336</x:v>
      </x:c>
      <x:c r="O29" s="66" t="n">
        <x:v>539.6839583333322</x:v>
      </x:c>
      <x:c r="P29" s="66" t="n">
        <x:v>927.7945833333333</x:v>
      </x:c>
      <x:c r="Q29" s="66" t="n">
        <x:v>856.3538083333324</x:v>
      </x:c>
      <x:c r="R29" s="66" t="n">
        <x:v>784.9130333333351</x:v>
      </x:c>
      <x:c r="S29" s="66" t="n">
        <x:v>713.4722583333323</x:v>
      </x:c>
      <x:c r="T29" s="66" t="n">
        <x:v>642.0314833333341</x:v>
      </x:c>
      <x:c r="U29" s="66" t="n">
        <x:v>570.5907083333295</x:v>
      </x:c>
      <x:c r="V29" s="66" t="n">
        <x:v>499.14993333333587</x:v>
      </x:c>
      <x:c r="W29" s="66" t="n">
        <x:v>427.709158333334</x:v>
      </x:c>
      <x:c r="X29" s="66" t="n">
        <x:v>356.26838333333217</x:v>
      </x:c>
      <x:c r="Y29" s="66" t="n">
        <x:v>284.82760833333305</x:v>
      </x:c>
    </x:row>
    <x:row r="30">
      <x:c r="A30" s="65" t="str">
        <x:v>Gründerarbeit (Schattenkosten)</x:v>
      </x:c>
      <x:c r="B30" s="66" t="n">
        <x:v>5196</x:v>
      </x:c>
      <x:c r="C30" s="66" t="n">
        <x:v>5196</x:v>
      </x:c>
      <x:c r="D30" s="66" t="n">
        <x:v>5196</x:v>
      </x:c>
      <x:c r="E30" s="66" t="n">
        <x:v>5196</x:v>
      </x:c>
      <x:c r="F30" s="66" t="n">
        <x:v>5196</x:v>
      </x:c>
      <x:c r="G30" s="66" t="n">
        <x:v>5196</x:v>
      </x:c>
      <x:c r="H30" s="66" t="n">
        <x:v>5196</x:v>
      </x:c>
      <x:c r="I30" s="66" t="n">
        <x:v>5196</x:v>
      </x:c>
      <x:c r="J30" s="66" t="n">
        <x:v>5196</x:v>
      </x:c>
      <x:c r="K30" s="66" t="n">
        <x:v>5196</x:v>
      </x:c>
      <x:c r="L30" s="66" t="n">
        <x:v>5196</x:v>
      </x:c>
      <x:c r="M30" s="66" t="n">
        <x:v>5196</x:v>
      </x:c>
      <x:c r="N30" s="66" t="n">
        <x:v>5196</x:v>
      </x:c>
      <x:c r="O30" s="66" t="n">
        <x:v>5196</x:v>
      </x:c>
      <x:c r="P30" s="66" t="n">
        <x:v>5196</x:v>
      </x:c>
      <x:c r="Q30" s="66" t="n">
        <x:v>5196</x:v>
      </x:c>
      <x:c r="R30" s="66" t="n">
        <x:v>5196</x:v>
      </x:c>
      <x:c r="S30" s="66" t="n">
        <x:v>5196</x:v>
      </x:c>
      <x:c r="T30" s="66" t="n">
        <x:v>5196</x:v>
      </x:c>
      <x:c r="U30" s="66" t="n">
        <x:v>5196</x:v>
      </x:c>
      <x:c r="V30" s="66" t="n">
        <x:v>5196</x:v>
      </x:c>
      <x:c r="W30" s="66" t="n">
        <x:v>5196</x:v>
      </x:c>
      <x:c r="X30" s="66" t="n">
        <x:v>5196</x:v>
      </x:c>
      <x:c r="Y30" s="66" t="n">
        <x:v>5196</x:v>
      </x:c>
    </x:row>
    <x:row r="31">
      <x:c r="A31" s="65" t="str">
        <x:v>Ökonomisches EBITDA</x:v>
      </x:c>
      <x:c r="B31" s="66" t="n">
        <x:v>-7441</x:v>
      </x:c>
      <x:c r="C31" s="66" t="n">
        <x:v>-7260.545454545454</x:v>
      </x:c>
      <x:c r="D31" s="66" t="n">
        <x:v>-6877.840909090909</x:v>
      </x:c>
      <x:c r="E31" s="66" t="n">
        <x:v>-5695.136363636364</x:v>
      </x:c>
      <x:c r="F31" s="66" t="n">
        <x:v>-5512.431818181818</x:v>
      </x:c>
      <x:c r="G31" s="66" t="n">
        <x:v>-5329.727272727273</x:v>
      </x:c>
      <x:c r="H31" s="66" t="n">
        <x:v>-5147.022727272727</x:v>
      </x:c>
      <x:c r="I31" s="66" t="n">
        <x:v>-4964.318181818182</x:v>
      </x:c>
      <x:c r="J31" s="66" t="n">
        <x:v>-4781.613636363636</x:v>
      </x:c>
      <x:c r="K31" s="66" t="n">
        <x:v>-4598.909090909091</x:v>
      </x:c>
      <x:c r="L31" s="66" t="n">
        <x:v>-4416.204545454546</x:v>
      </x:c>
      <x:c r="M31" s="66" t="n">
        <x:v>-4233.5</x:v>
      </x:c>
      <x:c r="N31" s="66" t="n">
        <x:v>-3864.5416666666665</x:v>
      </x:c>
      <x:c r="O31" s="66" t="n">
        <x:v>-3495.5833333333335</x:v>
      </x:c>
      <x:c r="P31" s="66" t="n">
        <x:v>-3126.625</x:v>
      </x:c>
      <x:c r="Q31" s="66" t="n">
        <x:v>-2757.666666666667</x:v>
      </x:c>
      <x:c r="R31" s="66" t="n">
        <x:v>-2388.708333333333</x:v>
      </x:c>
      <x:c r="S31" s="66" t="n">
        <x:v>-2019.75</x:v>
      </x:c>
      <x:c r="T31" s="66" t="n">
        <x:v>-1650.791666666666</x:v>
      </x:c>
      <x:c r="U31" s="66" t="n">
        <x:v>-1281.833333333334</x:v>
      </x:c>
      <x:c r="V31" s="66" t="n">
        <x:v>-912.875</x:v>
      </x:c>
      <x:c r="W31" s="66" t="n">
        <x:v>-543.9166666666661</x:v>
      </x:c>
      <x:c r="X31" s="66" t="n">
        <x:v>-174.95833333333303</x:v>
      </x:c>
      <x:c r="Y31" s="66" t="n">
        <x:v>194</x:v>
      </x:c>
    </x:row>
    <x:row r="32">
      <x:c r="A32" s="76" t="str">
        <x:v>ARR Run-rate</x:v>
      </x:c>
      <x:c r="B32" s="77" t="n">
        <x:v>0</x:v>
      </x:c>
      <x:c r="C32" s="77" t="n">
        <x:v>0</x:v>
      </x:c>
      <x:c r="D32" s="77" t="n">
        <x:v>1827</x:v>
      </x:c>
      <x:c r="E32" s="77" t="n">
        <x:v>3654</x:v>
      </x:c>
      <x:c r="F32" s="77" t="n">
        <x:v>5481</x:v>
      </x:c>
      <x:c r="G32" s="77" t="n">
        <x:v>7308</x:v>
      </x:c>
      <x:c r="H32" s="77" t="n">
        <x:v>9135</x:v>
      </x:c>
      <x:c r="I32" s="77" t="n">
        <x:v>10962</x:v>
      </x:c>
      <x:c r="J32" s="77" t="n">
        <x:v>12789</x:v>
      </x:c>
      <x:c r="K32" s="77" t="n">
        <x:v>14616</x:v>
      </x:c>
      <x:c r="L32" s="77" t="n">
        <x:v>16443</x:v>
      </x:c>
      <x:c r="M32" s="77" t="n">
        <x:v>18270</x:v>
      </x:c>
      <x:c r="N32" s="77" t="n">
        <x:v>21822.5</x:v>
      </x:c>
      <x:c r="O32" s="77" t="n">
        <x:v>25374.999999999996</x:v>
      </x:c>
      <x:c r="P32" s="77" t="n">
        <x:v>28927.5</x:v>
      </x:c>
      <x:c r="Q32" s="77" t="n">
        <x:v>32480</x:v>
      </x:c>
      <x:c r="R32" s="77" t="n">
        <x:v>36032.5</x:v>
      </x:c>
      <x:c r="S32" s="77" t="n">
        <x:v>39585</x:v>
      </x:c>
      <x:c r="T32" s="77" t="n">
        <x:v>43137.5</x:v>
      </x:c>
      <x:c r="U32" s="77" t="n">
        <x:v>46690</x:v>
      </x:c>
      <x:c r="V32" s="77" t="n">
        <x:v>50242.5</x:v>
      </x:c>
      <x:c r="W32" s="77" t="n">
        <x:v>53795</x:v>
      </x:c>
      <x:c r="X32" s="77" t="n">
        <x:v>57347.50000000001</x:v>
      </x:c>
      <x:c r="Y32" s="77" t="n">
        <x:v>60900</x:v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  <x:c r="R33" s="61"/>
      <x:c r="S33" s="61"/>
      <x:c r="T33" s="61"/>
      <x:c r="U33" s="61"/>
      <x:c r="V33" s="61"/>
      <x:c r="W33" s="61"/>
      <x:c r="X33" s="61"/>
      <x:c r="Y33" s="61"/>
    </x:row>
    <x:row r="34">
      <x:c r="A34" s="62" t="str">
        <x:v>Maximaler rechnerischer Liquiditätsbedarf dieses Szenarios: 5000 €. Negative Liquidität bedeutet Finanzierungslücke; keine automatische Kreditlinie modelliert.</x:v>
      </x:c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</x:row>
  </x:sheetData>
  <x:mergeCells>
    <x:mergeCell ref="A1:J1"/>
    <x:mergeCell ref="A2:J2"/>
    <x:mergeCell ref="A34:Y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 ht="32" customHeight="1">
      <x:c r="A1" s="72" t="str">
        <x:v>Monatsplanung M1–M24 · Optimistisch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61"/>
      <x:c r="L1" s="61"/>
      <x:c r="M1" s="61"/>
      <x:c r="N1" s="61"/>
      <x:c r="O1" s="61"/>
      <x:c r="P1" s="61"/>
      <x:c r="Q1" s="61"/>
      <x:c r="R1" s="61"/>
      <x:c r="S1" s="61"/>
      <x:c r="T1" s="61"/>
      <x:c r="U1" s="61"/>
      <x:c r="V1" s="61"/>
      <x:c r="W1" s="61"/>
      <x:c r="X1" s="61"/>
      <x:c r="Y1" s="61"/>
    </x:row>
    <x:row r="2" ht="26" customHeight="1">
      <x:c r="A2" s="62" t="str">
        <x:v>Planstart August 2026. Gesetzliche GuV ohne Gründergehälter; ökonomisches EBITDA zeigt die Opportunitätskosten der Gründerarbeit.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1"/>
      <x:c r="L2" s="61"/>
      <x:c r="M2" s="61"/>
      <x:c r="N2" s="61"/>
      <x:c r="O2" s="61"/>
      <x:c r="P2" s="61"/>
      <x:c r="Q2" s="61"/>
      <x:c r="R2" s="61"/>
      <x:c r="S2" s="61"/>
      <x:c r="T2" s="61"/>
      <x:c r="U2" s="61"/>
      <x:c r="V2" s="61"/>
      <x:c r="W2" s="61"/>
      <x:c r="X2" s="61"/>
      <x:c r="Y2" s="61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  <x:c r="S3" s="61"/>
      <x:c r="T3" s="61"/>
      <x:c r="U3" s="61"/>
      <x:c r="V3" s="61"/>
      <x:c r="W3" s="61"/>
      <x:c r="X3" s="61"/>
      <x:c r="Y3" s="61"/>
    </x:row>
    <x:row r="4">
      <x:c r="A4" s="63" t="str">
        <x:v>Kennzahl</x:v>
      </x:c>
      <x:c r="B4" s="75" t="n">
        <x:v>46235</x:v>
      </x:c>
      <x:c r="C4" s="75" t="n">
        <x:v>46266</x:v>
      </x:c>
      <x:c r="D4" s="75" t="n">
        <x:v>46296</x:v>
      </x:c>
      <x:c r="E4" s="75" t="n">
        <x:v>46327</x:v>
      </x:c>
      <x:c r="F4" s="75" t="n">
        <x:v>46357</x:v>
      </x:c>
      <x:c r="G4" s="75" t="n">
        <x:v>46388</x:v>
      </x:c>
      <x:c r="H4" s="75" t="n">
        <x:v>46419</x:v>
      </x:c>
      <x:c r="I4" s="75" t="n">
        <x:v>46447</x:v>
      </x:c>
      <x:c r="J4" s="75" t="n">
        <x:v>46478</x:v>
      </x:c>
      <x:c r="K4" s="75" t="n">
        <x:v>46508</x:v>
      </x:c>
      <x:c r="L4" s="75" t="n">
        <x:v>46539</x:v>
      </x:c>
      <x:c r="M4" s="75" t="n">
        <x:v>46569</x:v>
      </x:c>
      <x:c r="N4" s="75" t="n">
        <x:v>46600</x:v>
      </x:c>
      <x:c r="O4" s="75" t="n">
        <x:v>46631</x:v>
      </x:c>
      <x:c r="P4" s="75" t="n">
        <x:v>46661</x:v>
      </x:c>
      <x:c r="Q4" s="75" t="n">
        <x:v>46692</x:v>
      </x:c>
      <x:c r="R4" s="75" t="n">
        <x:v>46722</x:v>
      </x:c>
      <x:c r="S4" s="75" t="n">
        <x:v>46753</x:v>
      </x:c>
      <x:c r="T4" s="75" t="n">
        <x:v>46784</x:v>
      </x:c>
      <x:c r="U4" s="75" t="n">
        <x:v>46813</x:v>
      </x:c>
      <x:c r="V4" s="75" t="n">
        <x:v>46844</x:v>
      </x:c>
      <x:c r="W4" s="75" t="n">
        <x:v>46874</x:v>
      </x:c>
      <x:c r="X4" s="75" t="n">
        <x:v>46905</x:v>
      </x:c>
      <x:c r="Y4" s="75" t="n">
        <x:v>46935</x:v>
      </x:c>
    </x:row>
    <x:row r="5">
      <x:c r="A5" s="65" t="str">
        <x:v>Aktive B2B-Kunden</x:v>
      </x:c>
      <x:c r="B5" s="67" t="n">
        <x:v>0</x:v>
      </x:c>
      <x:c r="C5" s="67" t="n">
        <x:v>0</x:v>
      </x:c>
      <x:c r="D5" s="67" t="n">
        <x:v>3</x:v>
      </x:c>
      <x:c r="E5" s="67" t="n">
        <x:v>6</x:v>
      </x:c>
      <x:c r="F5" s="67" t="n">
        <x:v>9</x:v>
      </x:c>
      <x:c r="G5" s="67" t="n">
        <x:v>12</x:v>
      </x:c>
      <x:c r="H5" s="67" t="n">
        <x:v>15</x:v>
      </x:c>
      <x:c r="I5" s="67" t="n">
        <x:v>18</x:v>
      </x:c>
      <x:c r="J5" s="67" t="n">
        <x:v>21</x:v>
      </x:c>
      <x:c r="K5" s="67" t="n">
        <x:v>24</x:v>
      </x:c>
      <x:c r="L5" s="67" t="n">
        <x:v>27</x:v>
      </x:c>
      <x:c r="M5" s="67" t="n">
        <x:v>30</x:v>
      </x:c>
      <x:c r="N5" s="67" t="n">
        <x:v>35.833333333333336</x:v>
      </x:c>
      <x:c r="O5" s="67" t="n">
        <x:v>41.666666666666664</x:v>
      </x:c>
      <x:c r="P5" s="67" t="n">
        <x:v>47.5</x:v>
      </x:c>
      <x:c r="Q5" s="67" t="n">
        <x:v>53.33333333333333</x:v>
      </x:c>
      <x:c r="R5" s="67" t="n">
        <x:v>59.16666666666667</x:v>
      </x:c>
      <x:c r="S5" s="67" t="n">
        <x:v>65</x:v>
      </x:c>
      <x:c r="T5" s="67" t="n">
        <x:v>70.83333333333334</x:v>
      </x:c>
      <x:c r="U5" s="67" t="n">
        <x:v>76.66666666666666</x:v>
      </x:c>
      <x:c r="V5" s="67" t="n">
        <x:v>82.5</x:v>
      </x:c>
      <x:c r="W5" s="67" t="n">
        <x:v>88.33333333333334</x:v>
      </x:c>
      <x:c r="X5" s="67" t="n">
        <x:v>94.16666666666667</x:v>
      </x:c>
      <x:c r="Y5" s="67" t="n">
        <x:v>100</x:v>
      </x:c>
    </x:row>
    <x:row r="6">
      <x:c r="A6" s="65" t="str">
        <x:v>Neukunden brutto</x:v>
      </x:c>
      <x:c r="B6" s="67" t="n">
        <x:v>0</x:v>
      </x:c>
      <x:c r="C6" s="67" t="n">
        <x:v>0</x:v>
      </x:c>
      <x:c r="D6" s="67" t="n">
        <x:v>3</x:v>
      </x:c>
      <x:c r="E6" s="67" t="n">
        <x:v>3.03</x:v>
      </x:c>
      <x:c r="F6" s="67" t="n">
        <x:v>3.06</x:v>
      </x:c>
      <x:c r="G6" s="67" t="n">
        <x:v>3.09</x:v>
      </x:c>
      <x:c r="H6" s="67" t="n">
        <x:v>3.12</x:v>
      </x:c>
      <x:c r="I6" s="67" t="n">
        <x:v>3.15</x:v>
      </x:c>
      <x:c r="J6" s="67" t="n">
        <x:v>3.18</x:v>
      </x:c>
      <x:c r="K6" s="67" t="n">
        <x:v>3.21</x:v>
      </x:c>
      <x:c r="L6" s="67" t="n">
        <x:v>3.24</x:v>
      </x:c>
      <x:c r="M6" s="67" t="n">
        <x:v>3.27</x:v>
      </x:c>
      <x:c r="N6" s="67" t="n">
        <x:v>6.1333333333333355</x:v>
      </x:c>
      <x:c r="O6" s="67" t="n">
        <x:v>6.191666666666662</x:v>
      </x:c>
      <x:c r="P6" s="67" t="n">
        <x:v>6.250000000000003</x:v>
      </x:c>
      <x:c r="Q6" s="67" t="n">
        <x:v>6.308333333333328</x:v>
      </x:c>
      <x:c r="R6" s="67" t="n">
        <x:v>6.366666666666676</x:v>
      </x:c>
      <x:c r="S6" s="67" t="n">
        <x:v>6.424999999999995</x:v>
      </x:c>
      <x:c r="T6" s="67" t="n">
        <x:v>6.483333333333343</x:v>
      </x:c>
      <x:c r="U6" s="67" t="n">
        <x:v>6.541666666666648</x:v>
      </x:c>
      <x:c r="V6" s="67" t="n">
        <x:v>6.600000000000009</x:v>
      </x:c>
      <x:c r="W6" s="67" t="n">
        <x:v>6.658333333333343</x:v>
      </x:c>
      <x:c r="X6" s="67" t="n">
        <x:v>6.716666666666662</x:v>
      </x:c>
      <x:c r="Y6" s="67" t="n">
        <x:v>6.774999999999995</x:v>
      </x:c>
    </x:row>
    <x:row r="7">
      <x:c r="A7" s="65" t="str">
        <x:v>Abgewanderte Kunden</x:v>
      </x:c>
      <x:c r="B7" s="67" t="n">
        <x:v>0</x:v>
      </x:c>
      <x:c r="C7" s="67" t="n">
        <x:v>0</x:v>
      </x:c>
      <x:c r="D7" s="67" t="n">
        <x:v>0</x:v>
      </x:c>
      <x:c r="E7" s="67" t="n">
        <x:v>0.03</x:v>
      </x:c>
      <x:c r="F7" s="67" t="n">
        <x:v>0.06</x:v>
      </x:c>
      <x:c r="G7" s="67" t="n">
        <x:v>0.09</x:v>
      </x:c>
      <x:c r="H7" s="67" t="n">
        <x:v>0.12</x:v>
      </x:c>
      <x:c r="I7" s="67" t="n">
        <x:v>0.15</x:v>
      </x:c>
      <x:c r="J7" s="67" t="n">
        <x:v>0.18</x:v>
      </x:c>
      <x:c r="K7" s="67" t="n">
        <x:v>0.21</x:v>
      </x:c>
      <x:c r="L7" s="67" t="n">
        <x:v>0.24</x:v>
      </x:c>
      <x:c r="M7" s="67" t="n">
        <x:v>0.27</x:v>
      </x:c>
      <x:c r="N7" s="67" t="n">
        <x:v>0.3</x:v>
      </x:c>
      <x:c r="O7" s="67" t="n">
        <x:v>0.35833333333333334</x:v>
      </x:c>
      <x:c r="P7" s="67" t="n">
        <x:v>0.41666666666666663</x:v>
      </x:c>
      <x:c r="Q7" s="67" t="n">
        <x:v>0.47500000000000003</x:v>
      </x:c>
      <x:c r="R7" s="67" t="n">
        <x:v>0.5333333333333333</x:v>
      </x:c>
      <x:c r="S7" s="67" t="n">
        <x:v>0.5916666666666667</x:v>
      </x:c>
      <x:c r="T7" s="67" t="n">
        <x:v>0.65</x:v>
      </x:c>
      <x:c r="U7" s="67" t="n">
        <x:v>0.7083333333333335</x:v>
      </x:c>
      <x:c r="V7" s="67" t="n">
        <x:v>0.7666666666666666</x:v>
      </x:c>
      <x:c r="W7" s="67" t="n">
        <x:v>0.8250000000000001</x:v>
      </x:c>
      <x:c r="X7" s="67" t="n">
        <x:v>0.8833333333333334</x:v>
      </x:c>
      <x:c r="Y7" s="67" t="n">
        <x:v>0.9416666666666668</x:v>
      </x:c>
    </x:row>
    <x:row r="8">
      <x:c r="A8" s="65" t="str">
        <x:v>Pageviews</x:v>
      </x:c>
      <x:c r="B8" s="67" t="n">
        <x:v>8000</x:v>
      </x:c>
      <x:c r="C8" s="67" t="n">
        <x:v>20909.09090909091</x:v>
      </x:c>
      <x:c r="D8" s="67" t="n">
        <x:v>33818.18181818182</x:v>
      </x:c>
      <x:c r="E8" s="67" t="n">
        <x:v>46727.27272727273</x:v>
      </x:c>
      <x:c r="F8" s="67" t="n">
        <x:v>59636.36363636364</x:v>
      </x:c>
      <x:c r="G8" s="67" t="n">
        <x:v>72545.45454545454</x:v>
      </x:c>
      <x:c r="H8" s="67" t="n">
        <x:v>85454.54545454546</x:v>
      </x:c>
      <x:c r="I8" s="67" t="n">
        <x:v>98363.63636363637</x:v>
      </x:c>
      <x:c r="J8" s="67" t="n">
        <x:v>111272.72727272728</x:v>
      </x:c>
      <x:c r="K8" s="67" t="n">
        <x:v>124181.81818181818</x:v>
      </x:c>
      <x:c r="L8" s="67" t="n">
        <x:v>137090.9090909091</x:v>
      </x:c>
      <x:c r="M8" s="67" t="n">
        <x:v>150000</x:v>
      </x:c>
      <x:c r="N8" s="67" t="n">
        <x:v>195833.33333333334</x:v>
      </x:c>
      <x:c r="O8" s="67" t="n">
        <x:v>241666.6666666667</x:v>
      </x:c>
      <x:c r="P8" s="67" t="n">
        <x:v>287500</x:v>
      </x:c>
      <x:c r="Q8" s="67" t="n">
        <x:v>333333.3333333334</x:v>
      </x:c>
      <x:c r="R8" s="67" t="n">
        <x:v>379166.6666666666</x:v>
      </x:c>
      <x:c r="S8" s="67" t="n">
        <x:v>425000</x:v>
      </x:c>
      <x:c r="T8" s="67" t="n">
        <x:v>470833.3333333333</x:v>
      </x:c>
      <x:c r="U8" s="67" t="n">
        <x:v>516666.6666666667</x:v>
      </x:c>
      <x:c r="V8" s="67" t="n">
        <x:v>562500</x:v>
      </x:c>
      <x:c r="W8" s="67" t="n">
        <x:v>608333.3333333333</x:v>
      </x:c>
      <x:c r="X8" s="67" t="n">
        <x:v>654166.6666666667</x:v>
      </x:c>
      <x:c r="Y8" s="67" t="n">
        <x:v>700000</x:v>
      </x:c>
    </x:row>
    <x:row r="9">
      <x:c r="A9" s="65" t="str">
        <x:v>Blended MRR/Kunde</x:v>
      </x:c>
      <x:c r="B9" s="66" t="n">
        <x:v>129</x:v>
      </x:c>
      <x:c r="C9" s="66" t="n">
        <x:v>129</x:v>
      </x:c>
      <x:c r="D9" s="66" t="n">
        <x:v>129</x:v>
      </x:c>
      <x:c r="E9" s="66" t="n">
        <x:v>129</x:v>
      </x:c>
      <x:c r="F9" s="66" t="n">
        <x:v>129</x:v>
      </x:c>
      <x:c r="G9" s="66" t="n">
        <x:v>129</x:v>
      </x:c>
      <x:c r="H9" s="66" t="n">
        <x:v>129</x:v>
      </x:c>
      <x:c r="I9" s="66" t="n">
        <x:v>129</x:v>
      </x:c>
      <x:c r="J9" s="66" t="n">
        <x:v>129</x:v>
      </x:c>
      <x:c r="K9" s="66" t="n">
        <x:v>129</x:v>
      </x:c>
      <x:c r="L9" s="66" t="n">
        <x:v>129</x:v>
      </x:c>
      <x:c r="M9" s="66" t="n">
        <x:v>129</x:v>
      </x:c>
      <x:c r="N9" s="66" t="n">
        <x:v>129</x:v>
      </x:c>
      <x:c r="O9" s="66" t="n">
        <x:v>129</x:v>
      </x:c>
      <x:c r="P9" s="66" t="n">
        <x:v>129</x:v>
      </x:c>
      <x:c r="Q9" s="66" t="n">
        <x:v>129</x:v>
      </x:c>
      <x:c r="R9" s="66" t="n">
        <x:v>129</x:v>
      </x:c>
      <x:c r="S9" s="66" t="n">
        <x:v>129</x:v>
      </x:c>
      <x:c r="T9" s="66" t="n">
        <x:v>129</x:v>
      </x:c>
      <x:c r="U9" s="66" t="n">
        <x:v>129</x:v>
      </x:c>
      <x:c r="V9" s="66" t="n">
        <x:v>129</x:v>
      </x:c>
      <x:c r="W9" s="66" t="n">
        <x:v>129</x:v>
      </x:c>
      <x:c r="X9" s="66" t="n">
        <x:v>129</x:v>
      </x:c>
      <x:c r="Y9" s="66" t="n">
        <x:v>129</x:v>
      </x:c>
    </x:row>
    <x:row r="10">
      <x:c r="A10" s="65" t="str">
        <x:v>Abo-Umsatz</x:v>
      </x:c>
      <x:c r="B10" s="66" t="n">
        <x:v>0</x:v>
      </x:c>
      <x:c r="C10" s="66" t="n">
        <x:v>0</x:v>
      </x:c>
      <x:c r="D10" s="66" t="n">
        <x:v>387</x:v>
      </x:c>
      <x:c r="E10" s="66" t="n">
        <x:v>774</x:v>
      </x:c>
      <x:c r="F10" s="66" t="n">
        <x:v>1161</x:v>
      </x:c>
      <x:c r="G10" s="66" t="n">
        <x:v>1548</x:v>
      </x:c>
      <x:c r="H10" s="66" t="n">
        <x:v>1935</x:v>
      </x:c>
      <x:c r="I10" s="66" t="n">
        <x:v>2322</x:v>
      </x:c>
      <x:c r="J10" s="66" t="n">
        <x:v>2709</x:v>
      </x:c>
      <x:c r="K10" s="66" t="n">
        <x:v>3096</x:v>
      </x:c>
      <x:c r="L10" s="66" t="n">
        <x:v>3483</x:v>
      </x:c>
      <x:c r="M10" s="66" t="n">
        <x:v>3870</x:v>
      </x:c>
      <x:c r="N10" s="66" t="n">
        <x:v>4622.5</x:v>
      </x:c>
      <x:c r="O10" s="66" t="n">
        <x:v>5375</x:v>
      </x:c>
      <x:c r="P10" s="66" t="n">
        <x:v>6127.5</x:v>
      </x:c>
      <x:c r="Q10" s="66" t="n">
        <x:v>6879.999999999999</x:v>
      </x:c>
      <x:c r="R10" s="66" t="n">
        <x:v>7632.500000000001</x:v>
      </x:c>
      <x:c r="S10" s="66" t="n">
        <x:v>8385</x:v>
      </x:c>
      <x:c r="T10" s="66" t="n">
        <x:v>9137.500000000002</x:v>
      </x:c>
      <x:c r="U10" s="66" t="n">
        <x:v>9889.999999999998</x:v>
      </x:c>
      <x:c r="V10" s="66" t="n">
        <x:v>10642.5</x:v>
      </x:c>
      <x:c r="W10" s="66" t="n">
        <x:v>11395.000000000002</x:v>
      </x:c>
      <x:c r="X10" s="66" t="n">
        <x:v>12147.5</x:v>
      </x:c>
      <x:c r="Y10" s="66" t="n">
        <x:v>12900</x:v>
      </x:c>
    </x:row>
    <x:row r="11">
      <x:c r="A11" s="65" t="str">
        <x:v>Werbeumsatz</x:v>
      </x:c>
      <x:c r="B11" s="66" t="n">
        <x:v>64</x:v>
      </x:c>
      <x:c r="C11" s="66" t="n">
        <x:v>167.27272727272728</x:v>
      </x:c>
      <x:c r="D11" s="66" t="n">
        <x:v>270.54545454545456</x:v>
      </x:c>
      <x:c r="E11" s="66" t="n">
        <x:v>373.8181818181818</x:v>
      </x:c>
      <x:c r="F11" s="66" t="n">
        <x:v>477.0909090909091</x:v>
      </x:c>
      <x:c r="G11" s="66" t="n">
        <x:v>580.3636363636364</x:v>
      </x:c>
      <x:c r="H11" s="66" t="n">
        <x:v>683.6363636363636</x:v>
      </x:c>
      <x:c r="I11" s="66" t="n">
        <x:v>786.909090909091</x:v>
      </x:c>
      <x:c r="J11" s="66" t="n">
        <x:v>890.1818181818182</x:v>
      </x:c>
      <x:c r="K11" s="66" t="n">
        <x:v>993.4545454545454</x:v>
      </x:c>
      <x:c r="L11" s="66" t="n">
        <x:v>1096.7272727272727</x:v>
      </x:c>
      <x:c r="M11" s="66" t="n">
        <x:v>1200</x:v>
      </x:c>
      <x:c r="N11" s="66" t="n">
        <x:v>1566.6666666666667</x:v>
      </x:c>
      <x:c r="O11" s="66" t="n">
        <x:v>1933.3333333333335</x:v>
      </x:c>
      <x:c r="P11" s="66" t="n">
        <x:v>2300</x:v>
      </x:c>
      <x:c r="Q11" s="66" t="n">
        <x:v>2666.666666666667</x:v>
      </x:c>
      <x:c r="R11" s="66" t="n">
        <x:v>3033.333333333333</x:v>
      </x:c>
      <x:c r="S11" s="66" t="n">
        <x:v>3400</x:v>
      </x:c>
      <x:c r="T11" s="66" t="n">
        <x:v>3766.6666666666665</x:v>
      </x:c>
      <x:c r="U11" s="66" t="n">
        <x:v>4133.333333333334</x:v>
      </x:c>
      <x:c r="V11" s="66" t="n">
        <x:v>4500</x:v>
      </x:c>
      <x:c r="W11" s="66" t="n">
        <x:v>4866.666666666666</x:v>
      </x:c>
      <x:c r="X11" s="66" t="n">
        <x:v>5233.333333333334</x:v>
      </x:c>
      <x:c r="Y11" s="66" t="n">
        <x:v>5600</x:v>
      </x:c>
    </x:row>
    <x:row r="12">
      <x:c r="A12" s="65" t="str">
        <x:v>Gesamtumsatz</x:v>
      </x:c>
      <x:c r="B12" s="66" t="n">
        <x:v>64</x:v>
      </x:c>
      <x:c r="C12" s="66" t="n">
        <x:v>167.27272727272728</x:v>
      </x:c>
      <x:c r="D12" s="66" t="n">
        <x:v>657.5454545454545</x:v>
      </x:c>
      <x:c r="E12" s="66" t="n">
        <x:v>1147.8181818181818</x:v>
      </x:c>
      <x:c r="F12" s="66" t="n">
        <x:v>1638.090909090909</x:v>
      </x:c>
      <x:c r="G12" s="66" t="n">
        <x:v>2128.3636363636365</x:v>
      </x:c>
      <x:c r="H12" s="66" t="n">
        <x:v>2618.6363636363635</x:v>
      </x:c>
      <x:c r="I12" s="66" t="n">
        <x:v>3108.909090909091</x:v>
      </x:c>
      <x:c r="J12" s="66" t="n">
        <x:v>3599.181818181818</x:v>
      </x:c>
      <x:c r="K12" s="66" t="n">
        <x:v>4089.4545454545455</x:v>
      </x:c>
      <x:c r="L12" s="66" t="n">
        <x:v>4579.727272727273</x:v>
      </x:c>
      <x:c r="M12" s="66" t="n">
        <x:v>5070</x:v>
      </x:c>
      <x:c r="N12" s="66" t="n">
        <x:v>6189.166666666667</x:v>
      </x:c>
      <x:c r="O12" s="66" t="n">
        <x:v>7308.333333333334</x:v>
      </x:c>
      <x:c r="P12" s="66" t="n">
        <x:v>8427.5</x:v>
      </x:c>
      <x:c r="Q12" s="66" t="n">
        <x:v>9546.666666666666</x:v>
      </x:c>
      <x:c r="R12" s="66" t="n">
        <x:v>10665.833333333334</x:v>
      </x:c>
      <x:c r="S12" s="66" t="n">
        <x:v>11785</x:v>
      </x:c>
      <x:c r="T12" s="66" t="n">
        <x:v>12904.166666666668</x:v>
      </x:c>
      <x:c r="U12" s="66" t="n">
        <x:v>14023.333333333332</x:v>
      </x:c>
      <x:c r="V12" s="66" t="n">
        <x:v>15142.5</x:v>
      </x:c>
      <x:c r="W12" s="66" t="n">
        <x:v>16261.666666666668</x:v>
      </x:c>
      <x:c r="X12" s="66" t="n">
        <x:v>17380.833333333336</x:v>
      </x:c>
      <x:c r="Y12" s="66" t="n">
        <x:v>18500</x:v>
      </x:c>
    </x:row>
    <x:row r="13">
      <x:c r="A13" s="65" t="str">
        <x:v>Variable Kosten</x:v>
      </x:c>
      <x:c r="B13" s="66" t="n">
        <x:v>0</x:v>
      </x:c>
      <x:c r="C13" s="66" t="n">
        <x:v>0</x:v>
      </x:c>
      <x:c r="D13" s="66" t="n">
        <x:v>0</x:v>
      </x:c>
      <x:c r="E13" s="66" t="n">
        <x:v>0</x:v>
      </x:c>
      <x:c r="F13" s="66" t="n">
        <x:v>0</x:v>
      </x:c>
      <x:c r="G13" s="66" t="n">
        <x:v>0</x:v>
      </x:c>
      <x:c r="H13" s="66" t="n">
        <x:v>0</x:v>
      </x:c>
      <x:c r="I13" s="66" t="n">
        <x:v>0</x:v>
      </x:c>
      <x:c r="J13" s="66" t="n">
        <x:v>0</x:v>
      </x:c>
      <x:c r="K13" s="66" t="n">
        <x:v>0</x:v>
      </x:c>
      <x:c r="L13" s="66" t="n">
        <x:v>0</x:v>
      </x:c>
      <x:c r="M13" s="66" t="n">
        <x:v>0</x:v>
      </x:c>
      <x:c r="N13" s="66" t="n">
        <x:v>0</x:v>
      </x:c>
      <x:c r="O13" s="66" t="n">
        <x:v>0</x:v>
      </x:c>
      <x:c r="P13" s="66" t="n">
        <x:v>0</x:v>
      </x:c>
      <x:c r="Q13" s="66" t="n">
        <x:v>0</x:v>
      </x:c>
      <x:c r="R13" s="66" t="n">
        <x:v>0</x:v>
      </x:c>
      <x:c r="S13" s="66" t="n">
        <x:v>0</x:v>
      </x:c>
      <x:c r="T13" s="66" t="n">
        <x:v>0</x:v>
      </x:c>
      <x:c r="U13" s="66" t="n">
        <x:v>0</x:v>
      </x:c>
      <x:c r="V13" s="66" t="n">
        <x:v>0</x:v>
      </x:c>
      <x:c r="W13" s="66" t="n">
        <x:v>0</x:v>
      </x:c>
      <x:c r="X13" s="66" t="n">
        <x:v>0</x:v>
      </x:c>
      <x:c r="Y13" s="66" t="n">
        <x:v>0</x:v>
      </x:c>
    </x:row>
    <x:row r="14">
      <x:c r="A14" s="76" t="str">
        <x:v>Rohertrag</x:v>
      </x:c>
      <x:c r="B14" s="77" t="n">
        <x:f>B12-B13</x:f>
        <x:v>64</x:v>
      </x:c>
      <x:c r="C14" s="77" t="n">
        <x:f>C12-C13</x:f>
        <x:v>167.27272727272728</x:v>
      </x:c>
      <x:c r="D14" s="77" t="n">
        <x:f>D12-D13</x:f>
        <x:v>657.5454545454545</x:v>
      </x:c>
      <x:c r="E14" s="77" t="n">
        <x:f>E12-E13</x:f>
        <x:v>1147.8181818181818</x:v>
      </x:c>
      <x:c r="F14" s="77" t="n">
        <x:f>F12-F13</x:f>
        <x:v>1638.090909090909</x:v>
      </x:c>
      <x:c r="G14" s="77" t="n">
        <x:f>G12-G13</x:f>
        <x:v>2128.3636363636365</x:v>
      </x:c>
      <x:c r="H14" s="77" t="n">
        <x:f>H12-H13</x:f>
        <x:v>2618.6363636363635</x:v>
      </x:c>
      <x:c r="I14" s="77" t="n">
        <x:f>I12-I13</x:f>
        <x:v>3108.909090909091</x:v>
      </x:c>
      <x:c r="J14" s="77" t="n">
        <x:f>J12-J13</x:f>
        <x:v>3599.181818181818</x:v>
      </x:c>
      <x:c r="K14" s="77" t="n">
        <x:f>K12-K13</x:f>
        <x:v>4089.4545454545455</x:v>
      </x:c>
      <x:c r="L14" s="77" t="n">
        <x:f>L12-L13</x:f>
        <x:v>4579.727272727273</x:v>
      </x:c>
      <x:c r="M14" s="77" t="n">
        <x:f>M12-M13</x:f>
        <x:v>5070</x:v>
      </x:c>
      <x:c r="N14" s="77" t="n">
        <x:f>N12-N13</x:f>
        <x:v>6189.166666666667</x:v>
      </x:c>
      <x:c r="O14" s="77" t="n">
        <x:f>O12-O13</x:f>
        <x:v>7308.333333333334</x:v>
      </x:c>
      <x:c r="P14" s="77" t="n">
        <x:f>P12-P13</x:f>
        <x:v>8427.5</x:v>
      </x:c>
      <x:c r="Q14" s="77" t="n">
        <x:f>Q12-Q13</x:f>
        <x:v>9546.666666666666</x:v>
      </x:c>
      <x:c r="R14" s="77" t="n">
        <x:f>R12-R13</x:f>
        <x:v>10665.833333333334</x:v>
      </x:c>
      <x:c r="S14" s="77" t="n">
        <x:f>S12-S13</x:f>
        <x:v>11785</x:v>
      </x:c>
      <x:c r="T14" s="77" t="n">
        <x:f>T12-T13</x:f>
        <x:v>12904.166666666668</x:v>
      </x:c>
      <x:c r="U14" s="77" t="n">
        <x:f>U12-U13</x:f>
        <x:v>14023.333333333332</x:v>
      </x:c>
      <x:c r="V14" s="77" t="n">
        <x:f>V12-V13</x:f>
        <x:v>15142.5</x:v>
      </x:c>
      <x:c r="W14" s="77" t="n">
        <x:f>W12-W13</x:f>
        <x:v>16261.666666666668</x:v>
      </x:c>
      <x:c r="X14" s="77" t="n">
        <x:f>X12-X13</x:f>
        <x:v>17380.833333333336</x:v>
      </x:c>
      <x:c r="Y14" s="77" t="n">
        <x:f>Y12-Y13</x:f>
        <x:v>18500</x:v>
      </x:c>
    </x:row>
    <x:row r="15">
      <x:c r="A15" s="65" t="str">
        <x:v>Bruttomarge</x:v>
      </x:c>
      <x:c r="B15" s="74" t="n">
        <x:f>IF(B12=0,0,B14/B12)</x:f>
        <x:v>1</x:v>
      </x:c>
      <x:c r="C15" s="74" t="n">
        <x:f>IF(C12=0,0,C14/C12)</x:f>
        <x:v>1</x:v>
      </x:c>
      <x:c r="D15" s="74" t="n">
        <x:f>IF(D12=0,0,D14/D12)</x:f>
        <x:v>1</x:v>
      </x:c>
      <x:c r="E15" s="74" t="n">
        <x:f>IF(E12=0,0,E14/E12)</x:f>
        <x:v>1</x:v>
      </x:c>
      <x:c r="F15" s="74" t="n">
        <x:f>IF(F12=0,0,F14/F12)</x:f>
        <x:v>1</x:v>
      </x:c>
      <x:c r="G15" s="74" t="n">
        <x:f>IF(G12=0,0,G14/G12)</x:f>
        <x:v>1</x:v>
      </x:c>
      <x:c r="H15" s="74" t="n">
        <x:f>IF(H12=0,0,H14/H12)</x:f>
        <x:v>1</x:v>
      </x:c>
      <x:c r="I15" s="74" t="n">
        <x:f>IF(I12=0,0,I14/I12)</x:f>
        <x:v>1</x:v>
      </x:c>
      <x:c r="J15" s="74" t="n">
        <x:f>IF(J12=0,0,J14/J12)</x:f>
        <x:v>1</x:v>
      </x:c>
      <x:c r="K15" s="74" t="n">
        <x:f>IF(K12=0,0,K14/K12)</x:f>
        <x:v>1</x:v>
      </x:c>
      <x:c r="L15" s="74" t="n">
        <x:f>IF(L12=0,0,L14/L12)</x:f>
        <x:v>1</x:v>
      </x:c>
      <x:c r="M15" s="74" t="n">
        <x:f>IF(M12=0,0,M14/M12)</x:f>
        <x:v>1</x:v>
      </x:c>
      <x:c r="N15" s="74" t="n">
        <x:f>IF(N12=0,0,N14/N12)</x:f>
        <x:v>1</x:v>
      </x:c>
      <x:c r="O15" s="74" t="n">
        <x:f>IF(O12=0,0,O14/O12)</x:f>
        <x:v>1</x:v>
      </x:c>
      <x:c r="P15" s="74" t="n">
        <x:f>IF(P12=0,0,P14/P12)</x:f>
        <x:v>1</x:v>
      </x:c>
      <x:c r="Q15" s="74" t="n">
        <x:f>IF(Q12=0,0,Q14/Q12)</x:f>
        <x:v>1</x:v>
      </x:c>
      <x:c r="R15" s="74" t="n">
        <x:f>IF(R12=0,0,R14/R12)</x:f>
        <x:v>1</x:v>
      </x:c>
      <x:c r="S15" s="74" t="n">
        <x:f>IF(S12=0,0,S14/S12)</x:f>
        <x:v>1</x:v>
      </x:c>
      <x:c r="T15" s="74" t="n">
        <x:f>IF(T12=0,0,T14/T12)</x:f>
        <x:v>1</x:v>
      </x:c>
      <x:c r="U15" s="74" t="n">
        <x:f>IF(U12=0,0,U14/U12)</x:f>
        <x:v>1</x:v>
      </x:c>
      <x:c r="V15" s="74" t="n">
        <x:f>IF(V12=0,0,V14/V12)</x:f>
        <x:v>1</x:v>
      </x:c>
      <x:c r="W15" s="74" t="n">
        <x:f>IF(W12=0,0,W14/W12)</x:f>
        <x:v>1</x:v>
      </x:c>
      <x:c r="X15" s="74" t="n">
        <x:f>IF(X12=0,0,X14/X12)</x:f>
        <x:v>1</x:v>
      </x:c>
      <x:c r="Y15" s="74" t="n">
        <x:f>IF(Y12=0,0,Y14/Y12)</x:f>
        <x:v>1</x:v>
      </x:c>
    </x:row>
    <x:row r="16">
      <x:c r="A16" s="65" t="str">
        <x:v>Fixkosten</x:v>
      </x:c>
      <x:c r="B16" s="66" t="n">
        <x:v>1085</x:v>
      </x:c>
      <x:c r="C16" s="66" t="n">
        <x:v>1235</x:v>
      </x:c>
      <x:c r="D16" s="66" t="n">
        <x:v>1235</x:v>
      </x:c>
      <x:c r="E16" s="66" t="n">
        <x:v>1235</x:v>
      </x:c>
      <x:c r="F16" s="66" t="n">
        <x:v>1235</x:v>
      </x:c>
      <x:c r="G16" s="66" t="n">
        <x:v>1235</x:v>
      </x:c>
      <x:c r="H16" s="66" t="n">
        <x:v>1235</x:v>
      </x:c>
      <x:c r="I16" s="66" t="n">
        <x:v>1235</x:v>
      </x:c>
      <x:c r="J16" s="66" t="n">
        <x:v>1235</x:v>
      </x:c>
      <x:c r="K16" s="66" t="n">
        <x:v>1235</x:v>
      </x:c>
      <x:c r="L16" s="66" t="n">
        <x:v>1235</x:v>
      </x:c>
      <x:c r="M16" s="66" t="n">
        <x:v>1235</x:v>
      </x:c>
      <x:c r="N16" s="66" t="n">
        <x:v>1235</x:v>
      </x:c>
      <x:c r="O16" s="66" t="n">
        <x:v>1235</x:v>
      </x:c>
      <x:c r="P16" s="66" t="n">
        <x:v>1235</x:v>
      </x:c>
      <x:c r="Q16" s="66" t="n">
        <x:v>1235</x:v>
      </x:c>
      <x:c r="R16" s="66" t="n">
        <x:v>1235</x:v>
      </x:c>
      <x:c r="S16" s="66" t="n">
        <x:v>1235</x:v>
      </x:c>
      <x:c r="T16" s="66" t="n">
        <x:v>1235</x:v>
      </x:c>
      <x:c r="U16" s="66" t="n">
        <x:v>1235</x:v>
      </x:c>
      <x:c r="V16" s="66" t="n">
        <x:v>1235</x:v>
      </x:c>
      <x:c r="W16" s="66" t="n">
        <x:v>1235</x:v>
      </x:c>
      <x:c r="X16" s="66" t="n">
        <x:v>1235</x:v>
      </x:c>
      <x:c r="Y16" s="66" t="n">
        <x:v>1235</x:v>
      </x:c>
    </x:row>
    <x:row r="17">
      <x:c r="A17" s="65" t="str">
        <x:v>Einmalkosten</x:v>
      </x:c>
      <x:c r="B17" s="66" t="n">
        <x:v>1500</x:v>
      </x:c>
      <x:c r="C17" s="66" t="n">
        <x:v>1200</x:v>
      </x:c>
      <x:c r="D17" s="66" t="n">
        <x:v>1000</x:v>
      </x:c>
      <x:c r="E17" s="66" t="n">
        <x:v>0</x:v>
      </x:c>
      <x:c r="F17" s="66" t="n">
        <x:v>0</x:v>
      </x:c>
      <x:c r="G17" s="66" t="n">
        <x:v>0</x:v>
      </x:c>
      <x:c r="H17" s="66" t="n">
        <x:v>0</x:v>
      </x:c>
      <x:c r="I17" s="66" t="n">
        <x:v>0</x:v>
      </x:c>
      <x:c r="J17" s="66" t="n">
        <x:v>0</x:v>
      </x:c>
      <x:c r="K17" s="66" t="n">
        <x:v>0</x:v>
      </x:c>
      <x:c r="L17" s="66" t="n">
        <x:v>0</x:v>
      </x:c>
      <x:c r="M17" s="66" t="n">
        <x:v>0</x:v>
      </x:c>
      <x:c r="N17" s="66" t="n">
        <x:v>0</x:v>
      </x:c>
      <x:c r="O17" s="66" t="n">
        <x:v>0</x:v>
      </x:c>
      <x:c r="P17" s="66" t="n">
        <x:v>0</x:v>
      </x:c>
      <x:c r="Q17" s="66" t="n">
        <x:v>0</x:v>
      </x:c>
      <x:c r="R17" s="66" t="n">
        <x:v>0</x:v>
      </x:c>
      <x:c r="S17" s="66" t="n">
        <x:v>0</x:v>
      </x:c>
      <x:c r="T17" s="66" t="n">
        <x:v>0</x:v>
      </x:c>
      <x:c r="U17" s="66" t="n">
        <x:v>0</x:v>
      </x:c>
      <x:c r="V17" s="66" t="n">
        <x:v>0</x:v>
      </x:c>
      <x:c r="W17" s="66" t="n">
        <x:v>0</x:v>
      </x:c>
      <x:c r="X17" s="66" t="n">
        <x:v>0</x:v>
      </x:c>
      <x:c r="Y17" s="66" t="n">
        <x:v>0</x:v>
      </x:c>
    </x:row>
    <x:row r="18">
      <x:c r="A18" s="65" t="str">
        <x:v>EBITDA</x:v>
      </x:c>
      <x:c r="B18" s="65" t="n">
        <x:v>-2521</x:v>
      </x:c>
      <x:c r="C18" s="65" t="n">
        <x:v>-2267.727272727273</x:v>
      </x:c>
      <x:c r="D18" s="65" t="n">
        <x:v>-1577.4545454545455</x:v>
      </x:c>
      <x:c r="E18" s="65" t="n">
        <x:v>-87.18181818181824</x:v>
      </x:c>
      <x:c r="F18" s="65" t="n">
        <x:v>403.090909090909</x:v>
      </x:c>
      <x:c r="G18" s="65" t="n">
        <x:v>893.3636363636365</x:v>
      </x:c>
      <x:c r="H18" s="65" t="n">
        <x:v>1383.6363636363635</x:v>
      </x:c>
      <x:c r="I18" s="65" t="n">
        <x:v>1873.909090909091</x:v>
      </x:c>
      <x:c r="J18" s="65" t="n">
        <x:v>2364.181818181818</x:v>
      </x:c>
      <x:c r="K18" s="65" t="n">
        <x:v>2854.4545454545455</x:v>
      </x:c>
      <x:c r="L18" s="65" t="n">
        <x:v>3344.727272727273</x:v>
      </x:c>
      <x:c r="M18" s="65" t="n">
        <x:v>3835</x:v>
      </x:c>
      <x:c r="N18" s="65" t="n">
        <x:v>4954.166666666667</x:v>
      </x:c>
      <x:c r="O18" s="65" t="n">
        <x:v>6073.333333333334</x:v>
      </x:c>
      <x:c r="P18" s="65" t="n">
        <x:v>7192.5</x:v>
      </x:c>
      <x:c r="Q18" s="65" t="n">
        <x:v>8311.666666666666</x:v>
      </x:c>
      <x:c r="R18" s="65" t="n">
        <x:v>9430.833333333334</x:v>
      </x:c>
      <x:c r="S18" s="65" t="n">
        <x:v>10550</x:v>
      </x:c>
      <x:c r="T18" s="65" t="n">
        <x:v>11669.166666666668</x:v>
      </x:c>
      <x:c r="U18" s="65" t="n">
        <x:v>12788.333333333332</x:v>
      </x:c>
      <x:c r="V18" s="65" t="n">
        <x:v>13907.5</x:v>
      </x:c>
      <x:c r="W18" s="65" t="n">
        <x:v>15026.666666666668</x:v>
      </x:c>
      <x:c r="X18" s="65" t="n">
        <x:v>16145.833333333336</x:v>
      </x:c>
      <x:c r="Y18" s="65" t="n">
        <x:v>17265</x:v>
      </x:c>
    </x:row>
    <x:row r="19">
      <x:c r="A19" s="76" t="str">
        <x:v>EBITDA-Marge</x:v>
      </x:c>
      <x:c r="B19" s="77" t="n">
        <x:f>B12-B13-B16-B17</x:f>
        <x:v>-2521</x:v>
      </x:c>
      <x:c r="C19" s="77" t="n">
        <x:f>C12-C13-C16-C17</x:f>
        <x:v>-2267.727272727273</x:v>
      </x:c>
      <x:c r="D19" s="77" t="n">
        <x:f>D12-D13-D16-D17</x:f>
        <x:v>-1577.4545454545455</x:v>
      </x:c>
      <x:c r="E19" s="77" t="n">
        <x:f>E12-E13-E16-E17</x:f>
        <x:v>-87.18181818181824</x:v>
      </x:c>
      <x:c r="F19" s="77" t="n">
        <x:f>F12-F13-F16-F17</x:f>
        <x:v>403.090909090909</x:v>
      </x:c>
      <x:c r="G19" s="77" t="n">
        <x:f>G12-G13-G16-G17</x:f>
        <x:v>893.3636363636365</x:v>
      </x:c>
      <x:c r="H19" s="77" t="n">
        <x:f>H12-H13-H16-H17</x:f>
        <x:v>1383.6363636363635</x:v>
      </x:c>
      <x:c r="I19" s="77" t="n">
        <x:f>I12-I13-I16-I17</x:f>
        <x:v>1873.909090909091</x:v>
      </x:c>
      <x:c r="J19" s="77" t="n">
        <x:f>J12-J13-J16-J17</x:f>
        <x:v>2364.181818181818</x:v>
      </x:c>
      <x:c r="K19" s="77" t="n">
        <x:f>K12-K13-K16-K17</x:f>
        <x:v>2854.4545454545455</x:v>
      </x:c>
      <x:c r="L19" s="77" t="n">
        <x:f>L12-L13-L16-L17</x:f>
        <x:v>3344.727272727273</x:v>
      </x:c>
      <x:c r="M19" s="77" t="n">
        <x:f>M12-M13-M16-M17</x:f>
        <x:v>3835</x:v>
      </x:c>
      <x:c r="N19" s="77" t="n">
        <x:f>N12-N13-N16-N17</x:f>
        <x:v>4954.166666666667</x:v>
      </x:c>
      <x:c r="O19" s="77" t="n">
        <x:f>O12-O13-O16-O17</x:f>
        <x:v>6073.333333333334</x:v>
      </x:c>
      <x:c r="P19" s="77" t="n">
        <x:f>P12-P13-P16-P17</x:f>
        <x:v>7192.5</x:v>
      </x:c>
      <x:c r="Q19" s="77" t="n">
        <x:f>Q12-Q13-Q16-Q17</x:f>
        <x:v>8311.666666666666</x:v>
      </x:c>
      <x:c r="R19" s="77" t="n">
        <x:f>R12-R13-R16-R17</x:f>
        <x:v>9430.833333333334</x:v>
      </x:c>
      <x:c r="S19" s="77" t="n">
        <x:f>S12-S13-S16-S17</x:f>
        <x:v>10550</x:v>
      </x:c>
      <x:c r="T19" s="77" t="n">
        <x:f>T12-T13-T16-T17</x:f>
        <x:v>11669.166666666668</x:v>
      </x:c>
      <x:c r="U19" s="77" t="n">
        <x:f>U12-U13-U16-U17</x:f>
        <x:v>12788.333333333332</x:v>
      </x:c>
      <x:c r="V19" s="77" t="n">
        <x:f>V12-V13-V16-V17</x:f>
        <x:v>13907.5</x:v>
      </x:c>
      <x:c r="W19" s="77" t="n">
        <x:f>W12-W13-W16-W17</x:f>
        <x:v>15026.666666666668</x:v>
      </x:c>
      <x:c r="X19" s="77" t="n">
        <x:f>X12-X13-X16-X17</x:f>
        <x:v>16145.833333333336</x:v>
      </x:c>
      <x:c r="Y19" s="77" t="n">
        <x:f>Y12-Y13-Y16-Y17</x:f>
        <x:v>17265</x:v>
      </x:c>
    </x:row>
    <x:row r="20">
      <x:c r="A20" s="65" t="str">
        <x:v>Abschreibungen</x:v>
      </x:c>
      <x:c r="B20" s="74" t="n">
        <x:f>IF(B12=0,0,B19/B12)</x:f>
        <x:v>-39.390625</x:v>
      </x:c>
      <x:c r="C20" s="74" t="n">
        <x:f>IF(C12=0,0,C19/C12)</x:f>
        <x:v>-13.557065217391305</x:v>
      </x:c>
      <x:c r="D20" s="74" t="n">
        <x:f>IF(D12=0,0,D19/D12)</x:f>
        <x:v>-2.3990045624222316</x:v>
      </x:c>
      <x:c r="E20" s="74" t="n">
        <x:f>IF(E12=0,0,E19/E12)</x:f>
        <x:v>-0.07595437985110096</x:v>
      </x:c>
      <x:c r="F20" s="74" t="n">
        <x:f>IF(F12=0,0,F19/F12)</x:f>
        <x:v>0.24607358898940004</x:v>
      </x:c>
      <x:c r="G20" s="74" t="n">
        <x:f>IF(G12=0,0,G19/G12)</x:f>
        <x:v>0.419742012643089</x:v>
      </x:c>
      <x:c r="H20" s="74" t="n">
        <x:f>IF(H12=0,0,H19/H12)</x:f>
        <x:v>0.5283804894983509</x:v>
      </x:c>
      <x:c r="I20" s="74" t="n">
        <x:f>IF(I12=0,0,I19/I12)</x:f>
        <x:v>0.602754547049535</x:v>
      </x:c>
      <x:c r="J20" s="74" t="n">
        <x:f>IF(J12=0,0,J19/J12)</x:f>
        <x:v>0.6568664595488873</x:v>
      </x:c>
      <x:c r="K20" s="74" t="n">
        <x:f>IF(K12=0,0,K19/K12)</x:f>
        <x:v>0.6980037346612129</x:v>
      </x:c>
      <x:c r="L20" s="74" t="n">
        <x:f>IF(L12=0,0,L19/L12)</x:f>
        <x:v>0.7303332870159002</x:v>
      </x:c>
      <x:c r="M20" s="74" t="n">
        <x:f>IF(M12=0,0,M19/M12)</x:f>
        <x:v>0.7564102564102564</x:v>
      </x:c>
      <x:c r="N20" s="74" t="n">
        <x:f>IF(N12=0,0,N19/N12)</x:f>
        <x:v>0.8004577891477044</x:v>
      </x:c>
      <x:c r="O20" s="74" t="n">
        <x:f>IF(O12=0,0,O19/O12)</x:f>
        <x:v>0.8310148232611174</x:v>
      </x:c>
      <x:c r="P20" s="74" t="n">
        <x:f>IF(P12=0,0,P19/P12)</x:f>
        <x:v>0.8534559477899734</x:v>
      </x:c>
      <x:c r="Q20" s="74" t="n">
        <x:f>IF(Q12=0,0,Q19/Q12)</x:f>
        <x:v>0.8706354748603352</x:v>
      </x:c>
      <x:c r="R20" s="74" t="n">
        <x:f>IF(R12=0,0,R19/R12)</x:f>
        <x:v>0.8842097038831159</x:v>
      </x:c>
      <x:c r="S20" s="74" t="n">
        <x:f>IF(S12=0,0,S19/S12)</x:f>
        <x:v>0.8952057700466695</x:v>
      </x:c>
      <x:c r="T20" s="74" t="n">
        <x:f>IF(T12=0,0,T19/T12)</x:f>
        <x:v>0.9042944785276074</x:v>
      </x:c>
      <x:c r="U20" s="74" t="n">
        <x:f>IF(U12=0,0,U19/U12)</x:f>
        <x:v>0.9119324934632755</x:v>
      </x:c>
      <x:c r="V20" s="74" t="n">
        <x:f>IF(V12=0,0,V19/V12)</x:f>
        <x:v>0.9184414726762423</x:v>
      </x:c>
      <x:c r="W20" s="74" t="n">
        <x:f>IF(W12=0,0,W19/W12)</x:f>
        <x:v>0.9240545249564416</x:v>
      </x:c>
      <x:c r="X20" s="74" t="n">
        <x:f>IF(X12=0,0,X19/X12)</x:f>
        <x:v>0.9289447187994438</x:v>
      </x:c>
      <x:c r="Y20" s="74" t="n">
        <x:f>IF(Y12=0,0,Y19/Y12)</x:f>
        <x:v>0.9332432432432433</x:v>
      </x:c>
    </x:row>
    <x:row r="21">
      <x:c r="A21" s="65" t="str">
        <x:v>EBIT</x:v>
      </x:c>
      <x:c r="B21" s="66" t="n">
        <x:v>-2521</x:v>
      </x:c>
      <x:c r="C21" s="66" t="n">
        <x:v>-2267.727272727273</x:v>
      </x:c>
      <x:c r="D21" s="66" t="n">
        <x:v>-1610.7878787878788</x:v>
      </x:c>
      <x:c r="E21" s="66" t="n">
        <x:v>-120.51515151515159</x:v>
      </x:c>
      <x:c r="F21" s="66" t="n">
        <x:v>369.7575757575757</x:v>
      </x:c>
      <x:c r="G21" s="66" t="n">
        <x:v>860.0303030303031</x:v>
      </x:c>
      <x:c r="H21" s="66" t="n">
        <x:v>1350.3030303030303</x:v>
      </x:c>
      <x:c r="I21" s="66" t="n">
        <x:v>1840.5757575757577</x:v>
      </x:c>
      <x:c r="J21" s="66" t="n">
        <x:v>2330.8484848484845</x:v>
      </x:c>
      <x:c r="K21" s="66" t="n">
        <x:v>2821.121212121212</x:v>
      </x:c>
      <x:c r="L21" s="66" t="n">
        <x:v>3311.3939393939395</x:v>
      </x:c>
      <x:c r="M21" s="66" t="n">
        <x:v>3801.6666666666665</x:v>
      </x:c>
      <x:c r="N21" s="66" t="n">
        <x:v>4920.833333333334</x:v>
      </x:c>
      <x:c r="O21" s="66" t="n">
        <x:v>6040.000000000001</x:v>
      </x:c>
      <x:c r="P21" s="66" t="n">
        <x:v>7159.166666666667</x:v>
      </x:c>
      <x:c r="Q21" s="66" t="n">
        <x:v>8278.333333333332</x:v>
      </x:c>
      <x:c r="R21" s="66" t="n">
        <x:v>9397.5</x:v>
      </x:c>
      <x:c r="S21" s="66" t="n">
        <x:v>10516.666666666666</x:v>
      </x:c>
      <x:c r="T21" s="66" t="n">
        <x:v>11635.833333333334</x:v>
      </x:c>
      <x:c r="U21" s="66" t="n">
        <x:v>12754.999999999998</x:v>
      </x:c>
      <x:c r="V21" s="66" t="n">
        <x:v>13874.166666666666</x:v>
      </x:c>
      <x:c r="W21" s="66" t="n">
        <x:v>14993.333333333334</x:v>
      </x:c>
      <x:c r="X21" s="66" t="n">
        <x:v>16112.500000000002</x:v>
      </x:c>
      <x:c r="Y21" s="66" t="n">
        <x:v>17231.666666666668</x:v>
      </x:c>
    </x:row>
    <x:row r="22">
      <x:c r="A22" s="65" t="str">
        <x:v>Steueraufwand</x:v>
      </x:c>
      <x:c r="B22" s="66" t="n">
        <x:v>0</x:v>
      </x:c>
      <x:c r="C22" s="66" t="n">
        <x:v>0</x:v>
      </x:c>
      <x:c r="D22" s="66" t="n">
        <x:v>0</x:v>
      </x:c>
      <x:c r="E22" s="66" t="n">
        <x:v>0</x:v>
      </x:c>
      <x:c r="F22" s="66" t="n">
        <x:v>0</x:v>
      </x:c>
      <x:c r="G22" s="66" t="n">
        <x:v>0</x:v>
      </x:c>
      <x:c r="H22" s="66" t="n">
        <x:v>0</x:v>
      </x:c>
      <x:c r="I22" s="66" t="n">
        <x:v>0</x:v>
      </x:c>
      <x:c r="J22" s="66" t="n">
        <x:v>76.33212878787849</x:v>
      </x:c>
      <x:c r="K22" s="66" t="n">
        <x:v>930.2647196969697</x:v>
      </x:c>
      <x:c r="L22" s="66" t="n">
        <x:v>1091.9321515151514</x:v>
      </x:c>
      <x:c r="M22" s="66" t="n">
        <x:v>1253.5995833333332</x:v>
      </x:c>
      <x:c r="N22" s="66" t="n">
        <x:v>1622.6447916666668</x:v>
      </x:c>
      <x:c r="O22" s="66" t="n">
        <x:v>1991.6900000000003</x:v>
      </x:c>
      <x:c r="P22" s="66" t="n">
        <x:v>2360.7352083333335</x:v>
      </x:c>
      <x:c r="Q22" s="66" t="n">
        <x:v>2729.780416666666</x:v>
      </x:c>
      <x:c r="R22" s="66" t="n">
        <x:v>3098.825625</x:v>
      </x:c>
      <x:c r="S22" s="66" t="n">
        <x:v>3467.870833333333</x:v>
      </x:c>
      <x:c r="T22" s="66" t="n">
        <x:v>3836.916041666667</x:v>
      </x:c>
      <x:c r="U22" s="66" t="n">
        <x:v>4205.961249999999</x:v>
      </x:c>
      <x:c r="V22" s="66" t="n">
        <x:v>4575.006458333333</x:v>
      </x:c>
      <x:c r="W22" s="66" t="n">
        <x:v>4944.051666666666</x:v>
      </x:c>
      <x:c r="X22" s="66" t="n">
        <x:v>5313.096875</x:v>
      </x:c>
      <x:c r="Y22" s="66" t="n">
        <x:v>5682.142083333333</x:v>
      </x:c>
    </x:row>
    <x:row r="23">
      <x:c r="A23" s="65" t="str">
        <x:v>Jahresfehlbetrag/-überschuss</x:v>
      </x:c>
      <x:c r="B23" s="66" t="n">
        <x:v>-2521</x:v>
      </x:c>
      <x:c r="C23" s="66" t="n">
        <x:v>-2267.727272727273</x:v>
      </x:c>
      <x:c r="D23" s="66" t="n">
        <x:v>-1610.7878787878788</x:v>
      </x:c>
      <x:c r="E23" s="66" t="n">
        <x:v>-120.51515151515159</x:v>
      </x:c>
      <x:c r="F23" s="66" t="n">
        <x:v>369.7575757575757</x:v>
      </x:c>
      <x:c r="G23" s="66" t="n">
        <x:v>860.0303030303031</x:v>
      </x:c>
      <x:c r="H23" s="66" t="n">
        <x:v>1350.3030303030303</x:v>
      </x:c>
      <x:c r="I23" s="66" t="n">
        <x:v>1840.5757575757577</x:v>
      </x:c>
      <x:c r="J23" s="66" t="n">
        <x:v>2254.516356060606</x:v>
      </x:c>
      <x:c r="K23" s="66" t="n">
        <x:v>1890.8564924242423</x:v>
      </x:c>
      <x:c r="L23" s="66" t="n">
        <x:v>2219.461787878788</x:v>
      </x:c>
      <x:c r="M23" s="66" t="n">
        <x:v>2548.0670833333334</x:v>
      </x:c>
      <x:c r="N23" s="66" t="n">
        <x:v>3298.1885416666673</x:v>
      </x:c>
      <x:c r="O23" s="66" t="n">
        <x:v>4048.3100000000004</x:v>
      </x:c>
      <x:c r="P23" s="66" t="n">
        <x:v>4798.4314583333335</x:v>
      </x:c>
      <x:c r="Q23" s="66" t="n">
        <x:v>5548.552916666666</x:v>
      </x:c>
      <x:c r="R23" s="66" t="n">
        <x:v>6298.6743750000005</x:v>
      </x:c>
      <x:c r="S23" s="66" t="n">
        <x:v>7048.795833333334</x:v>
      </x:c>
      <x:c r="T23" s="66" t="n">
        <x:v>7798.917291666667</x:v>
      </x:c>
      <x:c r="U23" s="66" t="n">
        <x:v>8549.03875</x:v>
      </x:c>
      <x:c r="V23" s="66" t="n">
        <x:v>9299.160208333333</x:v>
      </x:c>
      <x:c r="W23" s="66" t="n">
        <x:v>10049.281666666668</x:v>
      </x:c>
      <x:c r="X23" s="66" t="n">
        <x:v>10799.403125</x:v>
      </x:c>
      <x:c r="Y23" s="66" t="n">
        <x:v>11549.524583333336</x:v>
      </x:c>
    </x:row>
    <x:row r="24">
      <x:c r="A24" s="65" t="str">
        <x:v>Cash-Eingänge</x:v>
      </x:c>
      <x:c r="B24" s="66" t="n">
        <x:v>64</x:v>
      </x:c>
      <x:c r="C24" s="66" t="n">
        <x:v>167.27272727272728</x:v>
      </x:c>
      <x:c r="D24" s="66" t="n">
        <x:v>2592.5454545454545</x:v>
      </x:c>
      <x:c r="E24" s="66" t="n">
        <x:v>2910.603181818182</x:v>
      </x:c>
      <x:c r="F24" s="66" t="n">
        <x:v>3228.660909090909</x:v>
      </x:c>
      <x:c r="G24" s="66" t="n">
        <x:v>3546.718636363636</x:v>
      </x:c>
      <x:c r="H24" s="66" t="n">
        <x:v>3864.7763636363634</x:v>
      </x:c>
      <x:c r="I24" s="66" t="n">
        <x:v>4182.834090909091</x:v>
      </x:c>
      <x:c r="J24" s="66" t="n">
        <x:v>4500.891818181818</x:v>
      </x:c>
      <x:c r="K24" s="66" t="n">
        <x:v>4818.949545454546</x:v>
      </x:c>
      <x:c r="L24" s="66" t="n">
        <x:v>5137.007272727273</x:v>
      </x:c>
      <x:c r="M24" s="66" t="n">
        <x:v>5455.0650000000005</x:v>
      </x:c>
      <x:c r="N24" s="66" t="n">
        <x:v>8229.516666666668</x:v>
      </x:c>
      <x:c r="O24" s="66" t="n">
        <x:v>9013.82083333333</x:v>
      </x:c>
      <x:c r="P24" s="66" t="n">
        <x:v>11713.775000000001</x:v>
      </x:c>
      <x:c r="Q24" s="66" t="n">
        <x:v>12517.235666666664</x:v>
      </x:c>
      <x:c r="R24" s="66" t="n">
        <x:v>13320.69633333334</x:v>
      </x:c>
      <x:c r="S24" s="66" t="n">
        <x:v>14124.156999999997</x:v>
      </x:c>
      <x:c r="T24" s="66" t="n">
        <x:v>14927.617666666674</x:v>
      </x:c>
      <x:c r="U24" s="66" t="n">
        <x:v>15731.078333333318</x:v>
      </x:c>
      <x:c r="V24" s="66" t="n">
        <x:v>16534.539000000008</x:v>
      </x:c>
      <x:c r="W24" s="66" t="n">
        <x:v>17337.999666666678</x:v>
      </x:c>
      <x:c r="X24" s="66" t="n">
        <x:v>18141.46033333333</x:v>
      </x:c>
      <x:c r="Y24" s="66" t="n">
        <x:v>18944.920999999995</x:v>
      </x:c>
    </x:row>
    <x:row r="25">
      <x:c r="A25" s="76" t="str">
        <x:v>Investitionen</x:v>
      </x:c>
      <x:c r="B25" s="77" t="n">
        <x:v>0</x:v>
      </x:c>
      <x:c r="C25" s="77" t="n">
        <x:v>0</x:v>
      </x:c>
      <x:c r="D25" s="77" t="n">
        <x:v>1200</x:v>
      </x:c>
      <x:c r="E25" s="77" t="n">
        <x:v>0</x:v>
      </x:c>
      <x:c r="F25" s="77" t="n">
        <x:v>0</x:v>
      </x:c>
      <x:c r="G25" s="77" t="n">
        <x:v>0</x:v>
      </x:c>
      <x:c r="H25" s="77" t="n">
        <x:v>0</x:v>
      </x:c>
      <x:c r="I25" s="77" t="n">
        <x:v>0</x:v>
      </x:c>
      <x:c r="J25" s="77" t="n">
        <x:v>0</x:v>
      </x:c>
      <x:c r="K25" s="77" t="n">
        <x:v>0</x:v>
      </x:c>
      <x:c r="L25" s="77" t="n">
        <x:v>0</x:v>
      </x:c>
      <x:c r="M25" s="77" t="n">
        <x:v>0</x:v>
      </x:c>
      <x:c r="N25" s="77" t="n">
        <x:v>0</x:v>
      </x:c>
      <x:c r="O25" s="77" t="n">
        <x:v>0</x:v>
      </x:c>
      <x:c r="P25" s="77" t="n">
        <x:v>0</x:v>
      </x:c>
      <x:c r="Q25" s="77" t="n">
        <x:v>0</x:v>
      </x:c>
      <x:c r="R25" s="77" t="n">
        <x:v>0</x:v>
      </x:c>
      <x:c r="S25" s="77" t="n">
        <x:v>0</x:v>
      </x:c>
      <x:c r="T25" s="77" t="n">
        <x:v>0</x:v>
      </x:c>
      <x:c r="U25" s="77" t="n">
        <x:v>0</x:v>
      </x:c>
      <x:c r="V25" s="77" t="n">
        <x:v>0</x:v>
      </x:c>
      <x:c r="W25" s="77" t="n">
        <x:v>0</x:v>
      </x:c>
      <x:c r="X25" s="77" t="n">
        <x:v>0</x:v>
      </x:c>
      <x:c r="Y25" s="77" t="n">
        <x:v>0</x:v>
      </x:c>
    </x:row>
    <x:row r="26">
      <x:c r="A26" s="65" t="str">
        <x:v>Netto-Cashflow</x:v>
      </x:c>
      <x:c r="B26" s="66" t="n">
        <x:v>-2521</x:v>
      </x:c>
      <x:c r="C26" s="66" t="n">
        <x:v>-2267.727272727273</x:v>
      </x:c>
      <x:c r="D26" s="66" t="n">
        <x:v>-842.4545454545455</x:v>
      </x:c>
      <x:c r="E26" s="66" t="n">
        <x:v>1675.6031818181818</x:v>
      </x:c>
      <x:c r="F26" s="66" t="n">
        <x:v>1993.6609090909092</x:v>
      </x:c>
      <x:c r="G26" s="66" t="n">
        <x:v>2311.718636363636</x:v>
      </x:c>
      <x:c r="H26" s="66" t="n">
        <x:v>2629.7763636363634</x:v>
      </x:c>
      <x:c r="I26" s="66" t="n">
        <x:v>2947.834090909091</x:v>
      </x:c>
      <x:c r="J26" s="66" t="n">
        <x:v>3189.5596893939396</x:v>
      </x:c>
      <x:c r="K26" s="66" t="n">
        <x:v>2653.684825757576</x:v>
      </x:c>
      <x:c r="L26" s="66" t="n">
        <x:v>2810.0751212121213</x:v>
      </x:c>
      <x:c r="M26" s="66" t="n">
        <x:v>2966.4654166666674</x:v>
      </x:c>
      <x:c r="N26" s="66" t="n">
        <x:v>5371.871875000002</x:v>
      </x:c>
      <x:c r="O26" s="66" t="n">
        <x:v>5787.130833333329</x:v>
      </x:c>
      <x:c r="P26" s="66" t="n">
        <x:v>8118.039791666668</x:v>
      </x:c>
      <x:c r="Q26" s="66" t="n">
        <x:v>8552.455249999997</x:v>
      </x:c>
      <x:c r="R26" s="66" t="n">
        <x:v>8986.870708333341</x:v>
      </x:c>
      <x:c r="S26" s="66" t="n">
        <x:v>9421.286166666665</x:v>
      </x:c>
      <x:c r="T26" s="66" t="n">
        <x:v>9855.701625000007</x:v>
      </x:c>
      <x:c r="U26" s="66" t="n">
        <x:v>10290.11708333332</x:v>
      </x:c>
      <x:c r="V26" s="66" t="n">
        <x:v>10724.532541666675</x:v>
      </x:c>
      <x:c r="W26" s="66" t="n">
        <x:v>11158.948000000011</x:v>
      </x:c>
      <x:c r="X26" s="66" t="n">
        <x:v>11593.36345833333</x:v>
      </x:c>
      <x:c r="Y26" s="66" t="n">
        <x:v>12027.778916666663</x:v>
      </x:c>
    </x:row>
    <x:row r="27">
      <x:c r="A27" s="65" t="str">
        <x:v>Anfangsliquidität</x:v>
      </x:c>
      <x:c r="B27" s="66" t="n">
        <x:v>2000</x:v>
      </x:c>
      <x:c r="C27" s="66" t="n">
        <x:v>-521</x:v>
      </x:c>
      <x:c r="D27" s="66" t="n">
        <x:v>-2788.727272727273</x:v>
      </x:c>
      <x:c r="E27" s="66" t="n">
        <x:v>-3631.1818181818185</x:v>
      </x:c>
      <x:c r="F27" s="66" t="n">
        <x:v>-1955.5786363636366</x:v>
      </x:c>
      <x:c r="G27" s="66" t="n">
        <x:v>38.08227272727254</x:v>
      </x:c>
      <x:c r="H27" s="66" t="n">
        <x:v>2349.8009090909086</x:v>
      </x:c>
      <x:c r="I27" s="66" t="n">
        <x:v>4979.577272727272</x:v>
      </x:c>
      <x:c r="J27" s="66" t="n">
        <x:v>7927.411363636364</x:v>
      </x:c>
      <x:c r="K27" s="66" t="n">
        <x:v>11116.971053030304</x:v>
      </x:c>
      <x:c r="L27" s="66" t="n">
        <x:v>13770.65587878788</x:v>
      </x:c>
      <x:c r="M27" s="66" t="n">
        <x:v>16580.731</x:v>
      </x:c>
      <x:c r="N27" s="66" t="n">
        <x:v>19547.196416666666</x:v>
      </x:c>
      <x:c r="O27" s="66" t="n">
        <x:v>24919.068291666666</x:v>
      </x:c>
      <x:c r="P27" s="66" t="n">
        <x:v>30706.199124999996</x:v>
      </x:c>
      <x:c r="Q27" s="66" t="n">
        <x:v>38824.23891666666</x:v>
      </x:c>
      <x:c r="R27" s="66" t="n">
        <x:v>47376.69416666666</x:v>
      </x:c>
      <x:c r="S27" s="66" t="n">
        <x:v>56363.564875000004</x:v>
      </x:c>
      <x:c r="T27" s="66" t="n">
        <x:v>65784.85104166667</x:v>
      </x:c>
      <x:c r="U27" s="66" t="n">
        <x:v>75640.55266666667</x:v>
      </x:c>
      <x:c r="V27" s="66" t="n">
        <x:v>85930.66974999999</x:v>
      </x:c>
      <x:c r="W27" s="66" t="n">
        <x:v>96655.20229166666</x:v>
      </x:c>
      <x:c r="X27" s="66" t="n">
        <x:v>107814.15029166668</x:v>
      </x:c>
      <x:c r="Y27" s="66" t="n">
        <x:v>119407.51375000001</x:v>
      </x:c>
    </x:row>
    <x:row r="28">
      <x:c r="A28" s="65" t="str">
        <x:v>Endliquidität</x:v>
      </x:c>
      <x:c r="B28" s="66" t="n">
        <x:v>-521</x:v>
      </x:c>
      <x:c r="C28" s="66" t="n">
        <x:v>-2788.727272727273</x:v>
      </x:c>
      <x:c r="D28" s="66" t="n">
        <x:v>-3631.1818181818185</x:v>
      </x:c>
      <x:c r="E28" s="66" t="n">
        <x:v>-1955.5786363636366</x:v>
      </x:c>
      <x:c r="F28" s="66" t="n">
        <x:v>38.08227272727254</x:v>
      </x:c>
      <x:c r="G28" s="66" t="n">
        <x:v>2349.8009090909086</x:v>
      </x:c>
      <x:c r="H28" s="66" t="n">
        <x:v>4979.577272727272</x:v>
      </x:c>
      <x:c r="I28" s="66" t="n">
        <x:v>7927.411363636364</x:v>
      </x:c>
      <x:c r="J28" s="66" t="n">
        <x:v>11116.971053030304</x:v>
      </x:c>
      <x:c r="K28" s="66" t="n">
        <x:v>13770.65587878788</x:v>
      </x:c>
      <x:c r="L28" s="66" t="n">
        <x:v>16580.731</x:v>
      </x:c>
      <x:c r="M28" s="66" t="n">
        <x:v>19547.196416666666</x:v>
      </x:c>
      <x:c r="N28" s="66" t="n">
        <x:v>24919.068291666666</x:v>
      </x:c>
      <x:c r="O28" s="66" t="n">
        <x:v>30706.199124999996</x:v>
      </x:c>
      <x:c r="P28" s="66" t="n">
        <x:v>38824.23891666666</x:v>
      </x:c>
      <x:c r="Q28" s="66" t="n">
        <x:v>47376.69416666666</x:v>
      </x:c>
      <x:c r="R28" s="66" t="n">
        <x:v>56363.564875000004</x:v>
      </x:c>
      <x:c r="S28" s="66" t="n">
        <x:v>65784.85104166667</x:v>
      </x:c>
      <x:c r="T28" s="66" t="n">
        <x:v>75640.55266666667</x:v>
      </x:c>
      <x:c r="U28" s="66" t="n">
        <x:v>85930.66974999999</x:v>
      </x:c>
      <x:c r="V28" s="66" t="n">
        <x:v>96655.20229166666</x:v>
      </x:c>
      <x:c r="W28" s="66" t="n">
        <x:v>107814.15029166668</x:v>
      </x:c>
      <x:c r="X28" s="66" t="n">
        <x:v>119407.51375000001</x:v>
      </x:c>
      <x:c r="Y28" s="66" t="n">
        <x:v>131435.29266666668</x:v>
      </x:c>
    </x:row>
    <x:row r="29">
      <x:c r="A29" s="65" t="str">
        <x:v>Veränderung Deferred Revenue</x:v>
      </x:c>
      <x:c r="B29" s="66" t="n">
        <x:v>0</x:v>
      </x:c>
      <x:c r="C29" s="66" t="n">
        <x:v>0</x:v>
      </x:c>
      <x:c r="D29" s="66" t="n">
        <x:v>1935</x:v>
      </x:c>
      <x:c r="E29" s="66" t="n">
        <x:v>1762.785</x:v>
      </x:c>
      <x:c r="F29" s="66" t="n">
        <x:v>1590.5700000000002</x:v>
      </x:c>
      <x:c r="G29" s="66" t="n">
        <x:v>1418.3549999999996</x:v>
      </x:c>
      <x:c r="H29" s="66" t="n">
        <x:v>1246.1399999999999</x:v>
      </x:c>
      <x:c r="I29" s="66" t="n">
        <x:v>1073.9250000000002</x:v>
      </x:c>
      <x:c r="J29" s="66" t="n">
        <x:v>901.71</x:v>
      </x:c>
      <x:c r="K29" s="66" t="n">
        <x:v>729.4950000000003</x:v>
      </x:c>
      <x:c r="L29" s="66" t="n">
        <x:v>557.2799999999997</x:v>
      </x:c>
      <x:c r="M29" s="66" t="n">
        <x:v>385.0650000000005</x:v>
      </x:c>
      <x:c r="N29" s="66" t="n">
        <x:v>2040.3500000000013</x:v>
      </x:c>
      <x:c r="O29" s="66" t="n">
        <x:v>1705.4874999999956</x:v>
      </x:c>
      <x:c r="P29" s="66" t="n">
        <x:v>3286.2750000000015</x:v>
      </x:c>
      <x:c r="Q29" s="66" t="n">
        <x:v>2970.5689999999977</x:v>
      </x:c>
      <x:c r="R29" s="66" t="n">
        <x:v>2654.8630000000067</x:v>
      </x:c>
      <x:c r="S29" s="66" t="n">
        <x:v>2339.1569999999974</x:v>
      </x:c>
      <x:c r="T29" s="66" t="n">
        <x:v>2023.4510000000064</x:v>
      </x:c>
      <x:c r="U29" s="66" t="n">
        <x:v>1707.7449999999862</x:v>
      </x:c>
      <x:c r="V29" s="66" t="n">
        <x:v>1392.039000000008</x:v>
      </x:c>
      <x:c r="W29" s="66" t="n">
        <x:v>1076.3330000000096</x:v>
      </x:c>
      <x:c r="X29" s="66" t="n">
        <x:v>760.6269999999931</x:v>
      </x:c>
      <x:c r="Y29" s="66" t="n">
        <x:v>444.9209999999948</x:v>
      </x:c>
    </x:row>
    <x:row r="30">
      <x:c r="A30" s="65" t="str">
        <x:v>Gründerarbeit (Schattenkosten)</x:v>
      </x:c>
      <x:c r="B30" s="66" t="n">
        <x:v>5196</x:v>
      </x:c>
      <x:c r="C30" s="66" t="n">
        <x:v>5196</x:v>
      </x:c>
      <x:c r="D30" s="66" t="n">
        <x:v>5196</x:v>
      </x:c>
      <x:c r="E30" s="66" t="n">
        <x:v>5196</x:v>
      </x:c>
      <x:c r="F30" s="66" t="n">
        <x:v>5196</x:v>
      </x:c>
      <x:c r="G30" s="66" t="n">
        <x:v>5196</x:v>
      </x:c>
      <x:c r="H30" s="66" t="n">
        <x:v>5196</x:v>
      </x:c>
      <x:c r="I30" s="66" t="n">
        <x:v>5196</x:v>
      </x:c>
      <x:c r="J30" s="66" t="n">
        <x:v>5196</x:v>
      </x:c>
      <x:c r="K30" s="66" t="n">
        <x:v>5196</x:v>
      </x:c>
      <x:c r="L30" s="66" t="n">
        <x:v>5196</x:v>
      </x:c>
      <x:c r="M30" s="66" t="n">
        <x:v>5196</x:v>
      </x:c>
      <x:c r="N30" s="66" t="n">
        <x:v>5196</x:v>
      </x:c>
      <x:c r="O30" s="66" t="n">
        <x:v>5196</x:v>
      </x:c>
      <x:c r="P30" s="66" t="n">
        <x:v>5196</x:v>
      </x:c>
      <x:c r="Q30" s="66" t="n">
        <x:v>5196</x:v>
      </x:c>
      <x:c r="R30" s="66" t="n">
        <x:v>5196</x:v>
      </x:c>
      <x:c r="S30" s="66" t="n">
        <x:v>5196</x:v>
      </x:c>
      <x:c r="T30" s="66" t="n">
        <x:v>5196</x:v>
      </x:c>
      <x:c r="U30" s="66" t="n">
        <x:v>5196</x:v>
      </x:c>
      <x:c r="V30" s="66" t="n">
        <x:v>5196</x:v>
      </x:c>
      <x:c r="W30" s="66" t="n">
        <x:v>5196</x:v>
      </x:c>
      <x:c r="X30" s="66" t="n">
        <x:v>5196</x:v>
      </x:c>
      <x:c r="Y30" s="66" t="n">
        <x:v>5196</x:v>
      </x:c>
    </x:row>
    <x:row r="31">
      <x:c r="A31" s="65" t="str">
        <x:v>Ökonomisches EBITDA</x:v>
      </x:c>
      <x:c r="B31" s="66" t="n">
        <x:v>-7717</x:v>
      </x:c>
      <x:c r="C31" s="66" t="n">
        <x:v>-7463.727272727273</x:v>
      </x:c>
      <x:c r="D31" s="66" t="n">
        <x:v>-6773.454545454546</x:v>
      </x:c>
      <x:c r="E31" s="66" t="n">
        <x:v>-5283.181818181818</x:v>
      </x:c>
      <x:c r="F31" s="66" t="n">
        <x:v>-4792.909090909091</x:v>
      </x:c>
      <x:c r="G31" s="66" t="n">
        <x:v>-4302.636363636364</x:v>
      </x:c>
      <x:c r="H31" s="66" t="n">
        <x:v>-3812.3636363636365</x:v>
      </x:c>
      <x:c r="I31" s="66" t="n">
        <x:v>-3322.090909090909</x:v>
      </x:c>
      <x:c r="J31" s="66" t="n">
        <x:v>-2831.818181818182</x:v>
      </x:c>
      <x:c r="K31" s="66" t="n">
        <x:v>-2341.5454545454545</x:v>
      </x:c>
      <x:c r="L31" s="66" t="n">
        <x:v>-1851.272727272727</x:v>
      </x:c>
      <x:c r="M31" s="66" t="n">
        <x:v>-1361</x:v>
      </x:c>
      <x:c r="N31" s="66" t="n">
        <x:v>-241.83333333333303</x:v>
      </x:c>
      <x:c r="O31" s="66" t="n">
        <x:v>877.3333333333339</x:v>
      </x:c>
      <x:c r="P31" s="66" t="n">
        <x:v>1996.5</x:v>
      </x:c>
      <x:c r="Q31" s="66" t="n">
        <x:v>3115.666666666666</x:v>
      </x:c>
      <x:c r="R31" s="66" t="n">
        <x:v>4234.833333333334</x:v>
      </x:c>
      <x:c r="S31" s="66" t="n">
        <x:v>5354</x:v>
      </x:c>
      <x:c r="T31" s="66" t="n">
        <x:v>6473.166666666668</x:v>
      </x:c>
      <x:c r="U31" s="66" t="n">
        <x:v>7592.333333333332</x:v>
      </x:c>
      <x:c r="V31" s="66" t="n">
        <x:v>8711.5</x:v>
      </x:c>
      <x:c r="W31" s="66" t="n">
        <x:v>9830.666666666668</x:v>
      </x:c>
      <x:c r="X31" s="66" t="n">
        <x:v>10949.833333333336</x:v>
      </x:c>
      <x:c r="Y31" s="66" t="n">
        <x:v>12069</x:v>
      </x:c>
    </x:row>
    <x:row r="32">
      <x:c r="A32" s="76" t="str">
        <x:v>ARR Run-rate</x:v>
      </x:c>
      <x:c r="B32" s="77" t="n">
        <x:v>0</x:v>
      </x:c>
      <x:c r="C32" s="77" t="n">
        <x:v>0</x:v>
      </x:c>
      <x:c r="D32" s="77" t="n">
        <x:v>4644</x:v>
      </x:c>
      <x:c r="E32" s="77" t="n">
        <x:v>9288</x:v>
      </x:c>
      <x:c r="F32" s="77" t="n">
        <x:v>13932</x:v>
      </x:c>
      <x:c r="G32" s="77" t="n">
        <x:v>18576</x:v>
      </x:c>
      <x:c r="H32" s="77" t="n">
        <x:v>23220</x:v>
      </x:c>
      <x:c r="I32" s="77" t="n">
        <x:v>27864</x:v>
      </x:c>
      <x:c r="J32" s="77" t="n">
        <x:v>32508</x:v>
      </x:c>
      <x:c r="K32" s="77" t="n">
        <x:v>37152</x:v>
      </x:c>
      <x:c r="L32" s="77" t="n">
        <x:v>41796</x:v>
      </x:c>
      <x:c r="M32" s="77" t="n">
        <x:v>46440</x:v>
      </x:c>
      <x:c r="N32" s="77" t="n">
        <x:v>55470</x:v>
      </x:c>
      <x:c r="O32" s="77" t="n">
        <x:v>64500</x:v>
      </x:c>
      <x:c r="P32" s="77" t="n">
        <x:v>73530</x:v>
      </x:c>
      <x:c r="Q32" s="77" t="n">
        <x:v>82559.99999999999</x:v>
      </x:c>
      <x:c r="R32" s="77" t="n">
        <x:v>91590.00000000001</x:v>
      </x:c>
      <x:c r="S32" s="77" t="n">
        <x:v>100620</x:v>
      </x:c>
      <x:c r="T32" s="77" t="n">
        <x:v>109650.00000000003</x:v>
      </x:c>
      <x:c r="U32" s="77" t="n">
        <x:v>118679.99999999997</x:v>
      </x:c>
      <x:c r="V32" s="77" t="n">
        <x:v>127710</x:v>
      </x:c>
      <x:c r="W32" s="77" t="n">
        <x:v>136740.00000000003</x:v>
      </x:c>
      <x:c r="X32" s="77" t="n">
        <x:v>145770</x:v>
      </x:c>
      <x:c r="Y32" s="77" t="n">
        <x:v>154800</x:v>
      </x:c>
    </x:row>
    <x:row r="33">
      <x:c r="A33" s="61"/>
      <x:c r="B33" s="61"/>
      <x:c r="C33" s="61"/>
      <x:c r="D33" s="61"/>
      <x:c r="E33" s="61"/>
      <x:c r="F33" s="61"/>
      <x:c r="G33" s="61"/>
      <x:c r="H33" s="61"/>
      <x:c r="I33" s="61"/>
      <x:c r="J33" s="61"/>
      <x:c r="K33" s="61"/>
      <x:c r="L33" s="61"/>
      <x:c r="M33" s="61"/>
      <x:c r="N33" s="61"/>
      <x:c r="O33" s="61"/>
      <x:c r="P33" s="61"/>
      <x:c r="Q33" s="61"/>
      <x:c r="R33" s="61"/>
      <x:c r="S33" s="61"/>
      <x:c r="T33" s="61"/>
      <x:c r="U33" s="61"/>
      <x:c r="V33" s="61"/>
      <x:c r="W33" s="61"/>
      <x:c r="X33" s="61"/>
      <x:c r="Y33" s="61"/>
    </x:row>
    <x:row r="34">
      <x:c r="A34" s="62" t="str">
        <x:v>Maximaler rechnerischer Liquiditätsbedarf dieses Szenarios: 4000 €. Negative Liquidität bedeutet Finanzierungslücke; keine automatische Kreditlinie modelliert.</x:v>
      </x:c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</x:row>
  </x:sheetData>
  <x:mergeCells>
    <x:mergeCell ref="A1:J1"/>
    <x:mergeCell ref="A2:J2"/>
    <x:mergeCell ref="A34:Y3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2" customHeight="1">
      <x:c r="A1" s="72" t="str">
        <x:v>Fünfjahresplanung · Szenarien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 ht="26" customHeight="1">
      <x:c r="A2" s="62" t="str">
        <x:v>Jahre 1–2 aus Monatsmodell; Jahre 3–5 jährliche operative Hochrechnung. Steuerbasis: München, nominale Satzsenkung berücksichtigt.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</x:row>
    <x:row r="4" ht="22" customHeight="1">
      <x:c r="A4" s="70" t="str">
        <x:v>Pessimistisch</x:v>
      </x:c>
      <x:c r="B4" s="70"/>
      <x:c r="C4" s="70"/>
      <x:c r="D4" s="70"/>
      <x:c r="E4" s="70"/>
      <x:c r="F4" s="70"/>
      <x:c r="G4" s="61"/>
      <x:c r="H4" s="61"/>
      <x:c r="I4" s="61"/>
      <x:c r="J4" s="61"/>
    </x:row>
    <x:row r="5">
      <x:c r="A5" s="63" t="str">
        <x:v>Kennzahl</x:v>
      </x:c>
      <x:c r="B5" s="63" t="str">
        <x:v>Jahr 1</x:v>
      </x:c>
      <x:c r="C5" s="63" t="str">
        <x:v>Jahr 2</x:v>
      </x:c>
      <x:c r="D5" s="63" t="str">
        <x:v>Jahr 3</x:v>
      </x:c>
      <x:c r="E5" s="63" t="str">
        <x:v>Jahr 4</x:v>
      </x:c>
      <x:c r="F5" s="63" t="str">
        <x:v>Jahr 5</x:v>
      </x:c>
      <x:c r="G5" s="61"/>
      <x:c r="H5" s="61"/>
      <x:c r="I5" s="61"/>
      <x:c r="J5" s="61"/>
    </x:row>
    <x:row r="6">
      <x:c r="A6" s="65" t="str">
        <x:v>Kunden Jahresende</x:v>
      </x:c>
      <x:c r="B6" s="67" t="n">
        <x:v>5</x:v>
      </x:c>
      <x:c r="C6" s="67" t="n">
        <x:v>15</x:v>
      </x:c>
      <x:c r="D6" s="67" t="n">
        <x:v>25</x:v>
      </x:c>
      <x:c r="E6" s="67" t="n">
        <x:v>35</x:v>
      </x:c>
      <x:c r="F6" s="67" t="n">
        <x:v>45</x:v>
      </x:c>
      <x:c r="G6" s="61"/>
      <x:c r="H6" s="61"/>
      <x:c r="I6" s="61"/>
      <x:c r="J6" s="61"/>
    </x:row>
    <x:row r="7">
      <x:c r="A7" s="65" t="str">
        <x:v>Ø aktive Kunden</x:v>
      </x:c>
      <x:c r="B7" s="67" t="n">
        <x:v>2.2916666666666665</x:v>
      </x:c>
      <x:c r="C7" s="67" t="n">
        <x:v>10.416666666666666</x:v>
      </x:c>
      <x:c r="D7" s="67" t="n">
        <x:v>20</x:v>
      </x:c>
      <x:c r="E7" s="67" t="n">
        <x:v>30</x:v>
      </x:c>
      <x:c r="F7" s="67" t="n">
        <x:v>40</x:v>
      </x:c>
      <x:c r="G7" s="61"/>
      <x:c r="H7" s="61"/>
      <x:c r="I7" s="61"/>
      <x:c r="J7" s="61"/>
    </x:row>
    <x:row r="8">
      <x:c r="A8" s="65" t="str">
        <x:v>Pageviews Monatsende</x:v>
      </x:c>
      <x:c r="B8" s="67" t="n">
        <x:v>25000</x:v>
      </x:c>
      <x:c r="C8" s="67" t="n">
        <x:v>60000</x:v>
      </x:c>
      <x:c r="D8" s="67" t="n">
        <x:v>100000</x:v>
      </x:c>
      <x:c r="E8" s="67" t="n">
        <x:v>150000</x:v>
      </x:c>
      <x:c r="F8" s="67" t="n">
        <x:v>200000</x:v>
      </x:c>
      <x:c r="G8" s="61"/>
      <x:c r="H8" s="61"/>
      <x:c r="I8" s="61"/>
      <x:c r="J8" s="61"/>
    </x:row>
    <x:row r="9">
      <x:c r="A9" s="65" t="str">
        <x:v>Abo-Umsatz</x:v>
      </x:c>
      <x:c r="B9" s="66" t="n">
        <x:v>2090.0000000000005</x:v>
      </x:c>
      <x:c r="C9" s="66" t="n">
        <x:v>9500.000000000002</x:v>
      </x:c>
      <x:c r="D9" s="66" t="n">
        <x:v>19350.816000000003</x:v>
      </x:c>
      <x:c r="E9" s="66" t="n">
        <x:v>29897.010720000006</x:v>
      </x:c>
      <x:c r="F9" s="66" t="n">
        <x:v>41058.561388800015</x:v>
      </x:c>
      <x:c r="G9" s="61"/>
      <x:c r="H9" s="61"/>
      <x:c r="I9" s="61"/>
      <x:c r="J9" s="61"/>
    </x:row>
    <x:row r="10">
      <x:c r="A10" s="65" t="str">
        <x:v>Werbeumsatz</x:v>
      </x:c>
      <x:c r="B10" s="66" t="n">
        <x:v>495</x:v>
      </x:c>
      <x:c r="C10" s="66" t="n">
        <x:v>1318.75</x:v>
      </x:c>
      <x:c r="D10" s="66" t="n">
        <x:v>2400</x:v>
      </x:c>
      <x:c r="E10" s="66" t="n">
        <x:v>3750</x:v>
      </x:c>
      <x:c r="F10" s="66" t="n">
        <x:v>5250</x:v>
      </x:c>
      <x:c r="G10" s="61"/>
      <x:c r="H10" s="61"/>
      <x:c r="I10" s="61"/>
      <x:c r="J10" s="61"/>
    </x:row>
    <x:row r="11">
      <x:c r="A11" s="76" t="str">
        <x:v>Gesamtumsatz</x:v>
      </x:c>
      <x:c r="B11" s="77" t="n">
        <x:v>2585.0000000000005</x:v>
      </x:c>
      <x:c r="C11" s="77" t="n">
        <x:v>10818.75</x:v>
      </x:c>
      <x:c r="D11" s="77" t="n">
        <x:v>21750.816000000003</x:v>
      </x:c>
      <x:c r="E11" s="77" t="n">
        <x:v>33647.010720000006</x:v>
      </x:c>
      <x:c r="F11" s="77" t="n">
        <x:v>46308.561388800015</x:v>
      </x:c>
      <x:c r="G11" s="61"/>
      <x:c r="H11" s="61"/>
      <x:c r="I11" s="61"/>
      <x:c r="J11" s="61"/>
    </x:row>
    <x:row r="12">
      <x:c r="A12" s="65" t="str">
        <x:v>Variable Kosten</x:v>
      </x:c>
      <x:c r="B12" s="66" t="n">
        <x:v>0</x:v>
      </x:c>
      <x:c r="C12" s="66" t="n">
        <x:v>0</x:v>
      </x:c>
      <x:c r="D12" s="66" t="n">
        <x:v>0</x:v>
      </x:c>
      <x:c r="E12" s="66" t="n">
        <x:v>0</x:v>
      </x:c>
      <x:c r="F12" s="66" t="n">
        <x:v>0</x:v>
      </x:c>
      <x:c r="G12" s="61"/>
      <x:c r="H12" s="61"/>
      <x:c r="I12" s="61"/>
      <x:c r="J12" s="61"/>
    </x:row>
    <x:row r="13">
      <x:c r="A13" s="65" t="str">
        <x:v>Fixkosten inkl. Einmalaufwand</x:v>
      </x:c>
      <x:c r="B13" s="66" t="n">
        <x:v>12970</x:v>
      </x:c>
      <x:c r="C13" s="66" t="n">
        <x:v>9420</x:v>
      </x:c>
      <x:c r="D13" s="66" t="n">
        <x:v>15000</x:v>
      </x:c>
      <x:c r="E13" s="66" t="n">
        <x:v>18000</x:v>
      </x:c>
      <x:c r="F13" s="66" t="n">
        <x:v>22000</x:v>
      </x:c>
      <x:c r="G13" s="61"/>
      <x:c r="H13" s="61"/>
      <x:c r="I13" s="61"/>
      <x:c r="J13" s="61"/>
    </x:row>
    <x:row r="14">
      <x:c r="A14" s="65" t="str">
        <x:v>Personalaufwand cash</x:v>
      </x:c>
      <x:c r="B14" s="66" t="n">
        <x:v>0</x:v>
      </x:c>
      <x:c r="C14" s="66" t="n">
        <x:v>0</x:v>
      </x:c>
      <x:c r="D14" s="66" t="n">
        <x:v>0</x:v>
      </x:c>
      <x:c r="E14" s="66" t="n">
        <x:v>0</x:v>
      </x:c>
      <x:c r="F14" s="66" t="n">
        <x:v>12000</x:v>
      </x:c>
      <x:c r="G14" s="61"/>
      <x:c r="H14" s="61"/>
      <x:c r="I14" s="61"/>
      <x:c r="J14" s="61"/>
    </x:row>
    <x:row r="15">
      <x:c r="A15" s="76" t="str">
        <x:v>EBITDA</x:v>
      </x:c>
      <x:c r="B15" s="77" t="n">
        <x:v>-10385</x:v>
      </x:c>
      <x:c r="C15" s="77" t="n">
        <x:v>1398.7500000000016</x:v>
      </x:c>
      <x:c r="D15" s="77" t="n">
        <x:v>6750.8160000000025</x:v>
      </x:c>
      <x:c r="E15" s="77" t="n">
        <x:v>15647.010720000006</x:v>
      </x:c>
      <x:c r="F15" s="77" t="n">
        <x:v>12308.561388800015</x:v>
      </x:c>
      <x:c r="G15" s="61"/>
      <x:c r="H15" s="61"/>
      <x:c r="I15" s="61"/>
      <x:c r="J15" s="61"/>
    </x:row>
    <x:row r="16">
      <x:c r="A16" s="65" t="str">
        <x:v>EBITDA-Marge</x:v>
      </x:c>
      <x:c r="B16" s="74" t="n">
        <x:f>IF(B11=0,0,B15/B11)</x:f>
        <x:v>-4.0174081237911015</x:v>
      </x:c>
      <x:c r="C16" s="74" t="n">
        <x:f>IF(C11=0,0,C15/C11)</x:f>
        <x:v>0.12928942807625665</x:v>
      </x:c>
      <x:c r="D16" s="74" t="n">
        <x:f>IF(D11=0,0,D15/D11)</x:f>
        <x:v>0.31037070057509575</x:v>
      </x:c>
      <x:c r="E16" s="74" t="n">
        <x:f>IF(E11=0,0,E15/E11)</x:f>
        <x:v>0.4650342002209224</x:v>
      </x:c>
      <x:c r="F16" s="74" t="n">
        <x:f>IF(F11=0,0,F15/F11)</x:f>
        <x:v>0.26579451012220195</x:v>
      </x:c>
      <x:c r="G16" s="61"/>
      <x:c r="H16" s="61"/>
      <x:c r="I16" s="61"/>
      <x:c r="J16" s="61"/>
    </x:row>
    <x:row r="17">
      <x:c r="A17" s="65" t="str">
        <x:v>EBIT</x:v>
      </x:c>
      <x:c r="B17" s="66" t="n">
        <x:v>-10718.333333333334</x:v>
      </x:c>
      <x:c r="C17" s="66" t="n">
        <x:v>998.7500000000016</x:v>
      </x:c>
      <x:c r="D17" s="66" t="n">
        <x:v>6484.149333333336</x:v>
      </x:c>
      <x:c r="E17" s="66" t="n">
        <x:v>15647.010720000006</x:v>
      </x:c>
      <x:c r="F17" s="66" t="n">
        <x:v>12308.561388800015</x:v>
      </x:c>
      <x:c r="G17" s="61"/>
      <x:c r="H17" s="61"/>
      <x:c r="I17" s="61"/>
      <x:c r="J17" s="61"/>
    </x:row>
    <x:row r="18">
      <x:c r="A18" s="65" t="str">
        <x:v>Steuern</x:v>
      </x:c>
      <x:c r="B18" s="66" t="n">
        <x:v>0</x:v>
      </x:c>
      <x:c r="C18" s="66" t="n">
        <x:v>0</x:v>
      </x:c>
      <x:c r="D18" s="66" t="n">
        <x:v>0</x:v>
      </x:c>
      <x:c r="E18" s="66" t="n">
        <x:v>3830.833154628</x:v>
      </x:c>
      <x:c r="F18" s="66" t="n">
        <x:v>3669.1821500012843</x:v>
      </x:c>
      <x:c r="G18" s="61"/>
      <x:c r="H18" s="61"/>
      <x:c r="I18" s="61"/>
      <x:c r="J18" s="61"/>
    </x:row>
    <x:row r="19">
      <x:c r="A19" s="65" t="str">
        <x:v>Jahresergebnis</x:v>
      </x:c>
      <x:c r="B19" s="66" t="n">
        <x:v>-10718.333333333334</x:v>
      </x:c>
      <x:c r="C19" s="66" t="n">
        <x:v>998.7500000000016</x:v>
      </x:c>
      <x:c r="D19" s="66" t="n">
        <x:v>6484.149333333336</x:v>
      </x:c>
      <x:c r="E19" s="66" t="n">
        <x:v>11816.177565372005</x:v>
      </x:c>
      <x:c r="F19" s="66" t="n">
        <x:v>8639.37923879873</x:v>
      </x:c>
      <x:c r="G19" s="61"/>
      <x:c r="H19" s="61"/>
      <x:c r="I19" s="61"/>
      <x:c r="J19" s="61"/>
    </x:row>
    <x:row r="20">
      <x:c r="A20" s="65" t="str">
        <x:v>Investitionen</x:v>
      </x:c>
      <x:c r="B20" s="66" t="n">
        <x:v>1200</x:v>
      </x:c>
      <x:c r="C20" s="66" t="n">
        <x:v>0</x:v>
      </x:c>
      <x:c r="D20" s="66" t="n">
        <x:v>0</x:v>
      </x:c>
      <x:c r="E20" s="66" t="n">
        <x:v>1000</x:v>
      </x:c>
      <x:c r="F20" s="66" t="n">
        <x:v>1000</x:v>
      </x:c>
      <x:c r="G20" s="61"/>
      <x:c r="H20" s="61"/>
      <x:c r="I20" s="61"/>
      <x:c r="J20" s="61"/>
    </x:row>
    <x:row r="21">
      <x:c r="A21" s="65" t="str">
        <x:v>Netto-Cashflow</x:v>
      </x:c>
      <x:c r="B21" s="66" t="n">
        <x:v>-11054.14</x:v>
      </x:c>
      <x:c r="C21" s="66" t="n">
        <x:v>2411.7920000000026</x:v>
      </x:c>
      <x:c r="D21" s="66" t="n">
        <x:v>6750.8160000000025</x:v>
      </x:c>
      <x:c r="E21" s="66" t="n">
        <x:v>10816.177565372005</x:v>
      </x:c>
      <x:c r="F21" s="66" t="n">
        <x:v>7639.3792387987305</x:v>
      </x:c>
      <x:c r="G21" s="61"/>
      <x:c r="H21" s="61"/>
      <x:c r="I21" s="61"/>
      <x:c r="J21" s="61"/>
    </x:row>
    <x:row r="22">
      <x:c r="A22" s="76" t="str">
        <x:v>Endliquidität</x:v>
      </x:c>
      <x:c r="B22" s="77" t="n">
        <x:v>-9054.139999999998</x:v>
      </x:c>
      <x:c r="C22" s="77" t="n">
        <x:v>-6642.3479999999945</x:v>
      </x:c>
      <x:c r="D22" s="77" t="n">
        <x:v>108.46800000000803</x:v>
      </x:c>
      <x:c r="E22" s="77" t="n">
        <x:v>10924.645565372013</x:v>
      </x:c>
      <x:c r="F22" s="77" t="n">
        <x:v>18564.024804170745</x:v>
      </x:c>
      <x:c r="G22" s="61"/>
      <x:c r="H22" s="61"/>
      <x:c r="I22" s="61"/>
      <x:c r="J22" s="61"/>
    </x:row>
    <x:row r="23">
      <x:c r="A23" s="61"/>
      <x:c r="B23" s="61"/>
      <x:c r="C23" s="61"/>
      <x:c r="D23" s="61"/>
      <x:c r="E23" s="61"/>
      <x:c r="F23" s="61"/>
      <x:c r="G23" s="61"/>
      <x:c r="H23" s="61"/>
      <x:c r="I23" s="61"/>
      <x:c r="J23" s="61"/>
    </x:row>
    <x:row r="24">
      <x:c r="A24" s="61"/>
      <x:c r="B24" s="61"/>
      <x:c r="C24" s="61"/>
      <x:c r="D24" s="61"/>
      <x:c r="E24" s="61"/>
      <x:c r="F24" s="61"/>
      <x:c r="G24" s="61"/>
      <x:c r="H24" s="61"/>
      <x:c r="I24" s="61"/>
      <x:c r="J24" s="61"/>
    </x:row>
    <x:row r="25" ht="22" customHeight="1">
      <x:c r="A25" s="70" t="str">
        <x:v>Realistisch</x:v>
      </x:c>
      <x:c r="B25" s="70"/>
      <x:c r="C25" s="70"/>
      <x:c r="D25" s="70"/>
      <x:c r="E25" s="70"/>
      <x:c r="F25" s="70"/>
      <x:c r="G25" s="61"/>
      <x:c r="H25" s="61"/>
      <x:c r="I25" s="61"/>
      <x:c r="J25" s="61"/>
    </x:row>
    <x:row r="26">
      <x:c r="A26" s="63" t="str">
        <x:v>Kennzahl</x:v>
      </x:c>
      <x:c r="B26" s="63" t="str">
        <x:v>Jahr 1</x:v>
      </x:c>
      <x:c r="C26" s="63" t="str">
        <x:v>Jahr 2</x:v>
      </x:c>
      <x:c r="D26" s="63" t="str">
        <x:v>Jahr 3</x:v>
      </x:c>
      <x:c r="E26" s="63" t="str">
        <x:v>Jahr 4</x:v>
      </x:c>
      <x:c r="F26" s="63" t="str">
        <x:v>Jahr 5</x:v>
      </x:c>
      <x:c r="G26" s="61"/>
      <x:c r="H26" s="61"/>
      <x:c r="I26" s="61"/>
      <x:c r="J26" s="61"/>
    </x:row>
    <x:row r="27">
      <x:c r="A27" s="65" t="str">
        <x:v>Kunden Jahresende</x:v>
      </x:c>
      <x:c r="B27" s="67" t="n">
        <x:v>15</x:v>
      </x:c>
      <x:c r="C27" s="67" t="n">
        <x:v>50</x:v>
      </x:c>
      <x:c r="D27" s="67" t="n">
        <x:v>100</x:v>
      </x:c>
      <x:c r="E27" s="67" t="n">
        <x:v>170</x:v>
      </x:c>
      <x:c r="F27" s="67" t="n">
        <x:v>260</x:v>
      </x:c>
      <x:c r="G27" s="61"/>
      <x:c r="H27" s="61"/>
      <x:c r="I27" s="61"/>
      <x:c r="J27" s="61"/>
    </x:row>
    <x:row r="28">
      <x:c r="A28" s="65" t="str">
        <x:v>Ø aktive Kunden</x:v>
      </x:c>
      <x:c r="B28" s="67" t="n">
        <x:v>6.875</x:v>
      </x:c>
      <x:c r="C28" s="67" t="n">
        <x:v>33.958333333333336</x:v>
      </x:c>
      <x:c r="D28" s="67" t="n">
        <x:v>75</x:v>
      </x:c>
      <x:c r="E28" s="67" t="n">
        <x:v>135</x:v>
      </x:c>
      <x:c r="F28" s="67" t="n">
        <x:v>215</x:v>
      </x:c>
      <x:c r="G28" s="61"/>
      <x:c r="H28" s="61"/>
      <x:c r="I28" s="61"/>
      <x:c r="J28" s="61"/>
    </x:row>
    <x:row r="29">
      <x:c r="A29" s="65" t="str">
        <x:v>Pageviews Monatsende</x:v>
      </x:c>
      <x:c r="B29" s="67" t="n">
        <x:v>75000</x:v>
      </x:c>
      <x:c r="C29" s="67" t="n">
        <x:v>250000</x:v>
      </x:c>
      <x:c r="D29" s="67" t="n">
        <x:v>500000</x:v>
      </x:c>
      <x:c r="E29" s="67" t="n">
        <x:v>900000</x:v>
      </x:c>
      <x:c r="F29" s="67" t="n">
        <x:v>1500000</x:v>
      </x:c>
      <x:c r="G29" s="61"/>
      <x:c r="H29" s="61"/>
      <x:c r="I29" s="61"/>
      <x:c r="J29" s="61"/>
    </x:row>
    <x:row r="30">
      <x:c r="A30" s="65" t="str">
        <x:v>Abo-Umsatz</x:v>
      </x:c>
      <x:c r="B30" s="66" t="n">
        <x:v>8373.75</x:v>
      </x:c>
      <x:c r="C30" s="66" t="n">
        <x:v>41361.25</x:v>
      </x:c>
      <x:c r="D30" s="66" t="n">
        <x:v>96913.215</x:v>
      </x:c>
      <x:c r="E30" s="66" t="n">
        <x:v>179677.10061</x:v>
      </x:c>
      <x:c r="F30" s="66" t="n">
        <x:v>294736.9920747</x:v>
      </x:c>
      <x:c r="G30" s="61"/>
      <x:c r="H30" s="61"/>
      <x:c r="I30" s="61"/>
      <x:c r="J30" s="61"/>
    </x:row>
    <x:row r="31">
      <x:c r="A31" s="65" t="str">
        <x:v>Werbeumsatz</x:v>
      </x:c>
      <x:c r="B31" s="66" t="n">
        <x:v>2490</x:v>
      </x:c>
      <x:c r="C31" s="66" t="n">
        <x:v>10187.5</x:v>
      </x:c>
      <x:c r="D31" s="66" t="n">
        <x:v>22500</x:v>
      </x:c>
      <x:c r="E31" s="66" t="n">
        <x:v>42000</x:v>
      </x:c>
      <x:c r="F31" s="66" t="n">
        <x:v>72000</x:v>
      </x:c>
      <x:c r="G31" s="61"/>
      <x:c r="H31" s="61"/>
      <x:c r="I31" s="61"/>
      <x:c r="J31" s="61"/>
    </x:row>
    <x:row r="32">
      <x:c r="A32" s="76" t="str">
        <x:v>Gesamtumsatz</x:v>
      </x:c>
      <x:c r="B32" s="77" t="n">
        <x:v>10863.75</x:v>
      </x:c>
      <x:c r="C32" s="77" t="n">
        <x:v>51548.75</x:v>
      </x:c>
      <x:c r="D32" s="77" t="n">
        <x:v>119413.215</x:v>
      </x:c>
      <x:c r="E32" s="77" t="n">
        <x:v>221677.10061</x:v>
      </x:c>
      <x:c r="F32" s="77" t="n">
        <x:v>366736.9920747</x:v>
      </x:c>
      <x:c r="G32" s="61"/>
      <x:c r="H32" s="61"/>
      <x:c r="I32" s="61"/>
      <x:c r="J32" s="61"/>
    </x:row>
    <x:row r="33">
      <x:c r="A33" s="65" t="str">
        <x:v>Variable Kosten</x:v>
      </x:c>
      <x:c r="B33" s="66" t="n">
        <x:v>0</x:v>
      </x:c>
      <x:c r="C33" s="66" t="n">
        <x:v>0</x:v>
      </x:c>
      <x:c r="D33" s="66" t="n">
        <x:v>0</x:v>
      </x:c>
      <x:c r="E33" s="66" t="n">
        <x:v>0</x:v>
      </x:c>
      <x:c r="F33" s="66" t="n">
        <x:v>0</x:v>
      </x:c>
      <x:c r="G33" s="61"/>
      <x:c r="H33" s="61"/>
      <x:c r="I33" s="61"/>
      <x:c r="J33" s="61"/>
    </x:row>
    <x:row r="34">
      <x:c r="A34" s="65" t="str">
        <x:v>Fixkosten inkl. Einmalaufwand</x:v>
      </x:c>
      <x:c r="B34" s="66" t="n">
        <x:v>14770</x:v>
      </x:c>
      <x:c r="C34" s="66" t="n">
        <x:v>11220</x:v>
      </x:c>
      <x:c r="D34" s="66" t="n">
        <x:v>18000</x:v>
      </x:c>
      <x:c r="E34" s="66" t="n">
        <x:v>27000</x:v>
      </x:c>
      <x:c r="F34" s="66" t="n">
        <x:v>40000</x:v>
      </x:c>
      <x:c r="G34" s="61"/>
      <x:c r="H34" s="61"/>
      <x:c r="I34" s="61"/>
      <x:c r="J34" s="61"/>
    </x:row>
    <x:row r="35">
      <x:c r="A35" s="65" t="str">
        <x:v>Personalaufwand cash</x:v>
      </x:c>
      <x:c r="B35" s="66" t="n">
        <x:v>0</x:v>
      </x:c>
      <x:c r="C35" s="66" t="n">
        <x:v>0</x:v>
      </x:c>
      <x:c r="D35" s="66" t="n">
        <x:v>30000</x:v>
      </x:c>
      <x:c r="E35" s="66" t="n">
        <x:v>132000</x:v>
      </x:c>
      <x:c r="F35" s="66" t="n">
        <x:v>190000</x:v>
      </x:c>
      <x:c r="G35" s="61"/>
      <x:c r="H35" s="61"/>
      <x:c r="I35" s="61"/>
      <x:c r="J35" s="61"/>
    </x:row>
    <x:row r="36">
      <x:c r="A36" s="76" t="str">
        <x:v>EBITDA</x:v>
      </x:c>
      <x:c r="B36" s="77" t="n">
        <x:v>-3906.25</x:v>
      </x:c>
      <x:c r="C36" s="77" t="n">
        <x:v>40328.75</x:v>
      </x:c>
      <x:c r="D36" s="77" t="n">
        <x:v>71413.215</x:v>
      </x:c>
      <x:c r="E36" s="77" t="n">
        <x:v>62677.100609999994</x:v>
      </x:c>
      <x:c r="F36" s="77" t="n">
        <x:v>136736.9920747</x:v>
      </x:c>
      <x:c r="G36" s="61"/>
      <x:c r="H36" s="61"/>
      <x:c r="I36" s="61"/>
      <x:c r="J36" s="61"/>
    </x:row>
    <x:row r="37">
      <x:c r="A37" s="65" t="str">
        <x:v>EBITDA-Marge</x:v>
      </x:c>
      <x:c r="B37" s="74" t="n">
        <x:f>IF(B32=0,0,B36/B32)</x:f>
        <x:v>-0.3595673685421701</x:v>
      </x:c>
      <x:c r="C37" s="74" t="n">
        <x:f>IF(C32=0,0,C36/C32)</x:f>
        <x:v>0.7823419578554281</x:v>
      </x:c>
      <x:c r="D37" s="74" t="n">
        <x:f>IF(D32=0,0,D36/D32)</x:f>
        <x:v>0.598034438650697</x:v>
      </x:c>
      <x:c r="E37" s="74" t="n">
        <x:f>IF(E32=0,0,E36/E32)</x:f>
        <x:v>0.28274052862261495</x:v>
      </x:c>
      <x:c r="F37" s="74" t="n">
        <x:f>IF(F32=0,0,F36/F32)</x:f>
        <x:v>0.3728475584127829</x:v>
      </x:c>
      <x:c r="G37" s="61"/>
      <x:c r="H37" s="61"/>
      <x:c r="I37" s="61"/>
      <x:c r="J37" s="61"/>
    </x:row>
    <x:row r="38">
      <x:c r="A38" s="65" t="str">
        <x:v>EBIT</x:v>
      </x:c>
      <x:c r="B38" s="66" t="n">
        <x:v>-4239.583333333332</x:v>
      </x:c>
      <x:c r="C38" s="66" t="n">
        <x:v>39928.75</x:v>
      </x:c>
      <x:c r="D38" s="66" t="n">
        <x:v>71146.54833333332</x:v>
      </x:c>
      <x:c r="E38" s="66" t="n">
        <x:v>62677.100609999994</x:v>
      </x:c>
      <x:c r="F38" s="66" t="n">
        <x:v>136736.9920747</x:v>
      </x:c>
      <x:c r="G38" s="61"/>
      <x:c r="H38" s="61"/>
      <x:c r="I38" s="61"/>
      <x:c r="J38" s="61"/>
    </x:row>
    <x:row r="39">
      <x:c r="A39" s="65" t="str">
        <x:v>Steuern</x:v>
      </x:c>
      <x:c r="B39" s="66" t="n">
        <x:v>0</x:v>
      </x:c>
      <x:c r="C39" s="66" t="n">
        <x:v>11768.502708333333</x:v>
      </x:c>
      <x:c r="D39" s="66" t="n">
        <x:v>22709.978227999996</x:v>
      </x:c>
      <x:c r="E39" s="66" t="n">
        <x:v>19345.287103276496</x:v>
      </x:c>
      <x:c r="F39" s="66" t="n">
        <x:v>40761.29733746807</x:v>
      </x:c>
      <x:c r="G39" s="61"/>
      <x:c r="H39" s="61"/>
      <x:c r="I39" s="61"/>
      <x:c r="J39" s="61"/>
    </x:row>
    <x:row r="40">
      <x:c r="A40" s="65" t="str">
        <x:v>Jahresergebnis</x:v>
      </x:c>
      <x:c r="B40" s="66" t="n">
        <x:v>-4239.583333333332</x:v>
      </x:c>
      <x:c r="C40" s="66" t="n">
        <x:v>28160.247291666667</x:v>
      </x:c>
      <x:c r="D40" s="66" t="n">
        <x:v>48436.57010533333</x:v>
      </x:c>
      <x:c r="E40" s="66" t="n">
        <x:v>43331.8135067235</x:v>
      </x:c>
      <x:c r="F40" s="66" t="n">
        <x:v>95975.69473723194</x:v>
      </x:c>
      <x:c r="G40" s="61"/>
      <x:c r="H40" s="61"/>
      <x:c r="I40" s="61"/>
      <x:c r="J40" s="61"/>
    </x:row>
    <x:row r="41">
      <x:c r="A41" s="65" t="str">
        <x:v>Investitionen</x:v>
      </x:c>
      <x:c r="B41" s="66" t="n">
        <x:v>1200</x:v>
      </x:c>
      <x:c r="C41" s="66" t="n">
        <x:v>0</x:v>
      </x:c>
      <x:c r="D41" s="66" t="n">
        <x:v>3000</x:v>
      </x:c>
      <x:c r="E41" s="66" t="n">
        <x:v>8000</x:v>
      </x:c>
      <x:c r="F41" s="66" t="n">
        <x:v>12000</x:v>
      </x:c>
      <x:c r="G41" s="61"/>
      <x:c r="H41" s="61"/>
      <x:c r="I41" s="61"/>
      <x:c r="J41" s="61"/>
    </x:row>
    <x:row r="42">
      <x:c r="A42" s="65" t="str">
        <x:v>Netto-Cashflow</x:v>
      </x:c>
      <x:c r="B42" s="66" t="n">
        <x:v>-1647.8912499999992</x:v>
      </x:c>
      <x:c r="C42" s="66" t="n">
        <x:v>35783.54554166667</x:v>
      </x:c>
      <x:c r="D42" s="66" t="n">
        <x:v>45703.236772000004</x:v>
      </x:c>
      <x:c r="E42" s="66" t="n">
        <x:v>35331.8135067235</x:v>
      </x:c>
      <x:c r="F42" s="66" t="n">
        <x:v>83975.69473723194</x:v>
      </x:c>
      <x:c r="G42" s="61"/>
      <x:c r="H42" s="61"/>
      <x:c r="I42" s="61"/>
      <x:c r="J42" s="61"/>
    </x:row>
    <x:row r="43">
      <x:c r="A43" s="76" t="str">
        <x:v>Endliquidität</x:v>
      </x:c>
      <x:c r="B43" s="77" t="n">
        <x:v>352.10874999999896</x:v>
      </x:c>
      <x:c r="C43" s="77" t="n">
        <x:v>36135.654291666666</x:v>
      </x:c>
      <x:c r="D43" s="77" t="n">
        <x:v>81838.89106366667</x:v>
      </x:c>
      <x:c r="E43" s="77" t="n">
        <x:v>117170.70457039017</x:v>
      </x:c>
      <x:c r="F43" s="77" t="n">
        <x:v>201146.3993076221</x:v>
      </x:c>
      <x:c r="G43" s="61"/>
      <x:c r="H43" s="61"/>
      <x:c r="I43" s="61"/>
      <x:c r="J43" s="61"/>
    </x:row>
    <x:row r="44">
      <x:c r="A44" s="61"/>
      <x:c r="B44" s="61"/>
      <x:c r="C44" s="61"/>
      <x:c r="D44" s="61"/>
      <x:c r="E44" s="61"/>
      <x:c r="F44" s="61"/>
      <x:c r="G44" s="61"/>
      <x:c r="H44" s="61"/>
      <x:c r="I44" s="61"/>
      <x:c r="J44" s="61"/>
    </x:row>
    <x:row r="45">
      <x:c r="A45" s="61"/>
      <x:c r="B45" s="61"/>
      <x:c r="C45" s="61"/>
      <x:c r="D45" s="61"/>
      <x:c r="E45" s="61"/>
      <x:c r="F45" s="61"/>
      <x:c r="G45" s="61"/>
      <x:c r="H45" s="61"/>
      <x:c r="I45" s="61"/>
      <x:c r="J45" s="61"/>
    </x:row>
    <x:row r="46" ht="22" customHeight="1">
      <x:c r="A46" s="70" t="str">
        <x:v>Optimistisch</x:v>
      </x:c>
      <x:c r="B46" s="70"/>
      <x:c r="C46" s="70"/>
      <x:c r="D46" s="70"/>
      <x:c r="E46" s="70"/>
      <x:c r="F46" s="70"/>
      <x:c r="G46" s="61"/>
      <x:c r="H46" s="61"/>
      <x:c r="I46" s="61"/>
      <x:c r="J46" s="61"/>
    </x:row>
    <x:row r="47">
      <x:c r="A47" s="63" t="str">
        <x:v>Kennzahl</x:v>
      </x:c>
      <x:c r="B47" s="63" t="str">
        <x:v>Jahr 1</x:v>
      </x:c>
      <x:c r="C47" s="63" t="str">
        <x:v>Jahr 2</x:v>
      </x:c>
      <x:c r="D47" s="63" t="str">
        <x:v>Jahr 3</x:v>
      </x:c>
      <x:c r="E47" s="63" t="str">
        <x:v>Jahr 4</x:v>
      </x:c>
      <x:c r="F47" s="63" t="str">
        <x:v>Jahr 5</x:v>
      </x:c>
      <x:c r="G47" s="61"/>
      <x:c r="H47" s="61"/>
      <x:c r="I47" s="61"/>
      <x:c r="J47" s="61"/>
    </x:row>
    <x:row r="48">
      <x:c r="A48" s="65" t="str">
        <x:v>Kunden Jahresende</x:v>
      </x:c>
      <x:c r="B48" s="67" t="n">
        <x:v>30</x:v>
      </x:c>
      <x:c r="C48" s="67" t="n">
        <x:v>100</x:v>
      </x:c>
      <x:c r="D48" s="67" t="n">
        <x:v>220</x:v>
      </x:c>
      <x:c r="E48" s="67" t="n">
        <x:v>400</x:v>
      </x:c>
      <x:c r="F48" s="67" t="n">
        <x:v>650</x:v>
      </x:c>
      <x:c r="G48" s="61"/>
      <x:c r="H48" s="61"/>
      <x:c r="I48" s="61"/>
      <x:c r="J48" s="61"/>
    </x:row>
    <x:row r="49">
      <x:c r="A49" s="65" t="str">
        <x:v>Ø aktive Kunden</x:v>
      </x:c>
      <x:c r="B49" s="67" t="n">
        <x:v>13.75</x:v>
      </x:c>
      <x:c r="C49" s="67" t="n">
        <x:v>67.91666666666667</x:v>
      </x:c>
      <x:c r="D49" s="67" t="n">
        <x:v>160</x:v>
      </x:c>
      <x:c r="E49" s="67" t="n">
        <x:v>310</x:v>
      </x:c>
      <x:c r="F49" s="67" t="n">
        <x:v>525</x:v>
      </x:c>
      <x:c r="G49" s="61"/>
      <x:c r="H49" s="61"/>
      <x:c r="I49" s="61"/>
      <x:c r="J49" s="61"/>
    </x:row>
    <x:row r="50">
      <x:c r="A50" s="65" t="str">
        <x:v>Pageviews Monatsende</x:v>
      </x:c>
      <x:c r="B50" s="67" t="n">
        <x:v>150000</x:v>
      </x:c>
      <x:c r="C50" s="67" t="n">
        <x:v>700000</x:v>
      </x:c>
      <x:c r="D50" s="67" t="n">
        <x:v>1500000</x:v>
      </x:c>
      <x:c r="E50" s="67" t="n">
        <x:v>3000000</x:v>
      </x:c>
      <x:c r="F50" s="67" t="n">
        <x:v>5000000</x:v>
      </x:c>
      <x:c r="G50" s="61"/>
      <x:c r="H50" s="61"/>
      <x:c r="I50" s="61"/>
      <x:c r="J50" s="61"/>
    </x:row>
    <x:row r="51">
      <x:c r="A51" s="65" t="str">
        <x:v>Abo-Umsatz</x:v>
      </x:c>
      <x:c r="B51" s="66" t="n">
        <x:v>21285</x:v>
      </x:c>
      <x:c r="C51" s="66" t="n">
        <x:v>105135</x:v>
      </x:c>
      <x:c r="D51" s="66" t="n">
        <x:v>262763.712</x:v>
      </x:c>
      <x:c r="E51" s="66" t="n">
        <x:v>524377.83276</x:v>
      </x:c>
      <x:c r="F51" s="66" t="n">
        <x:v>914701.0098870003</x:v>
      </x:c>
      <x:c r="G51" s="61"/>
      <x:c r="H51" s="61"/>
      <x:c r="I51" s="61"/>
      <x:c r="J51" s="61"/>
    </x:row>
    <x:row r="52">
      <x:c r="A52" s="65" t="str">
        <x:v>Werbeumsatz</x:v>
      </x:c>
      <x:c r="B52" s="66" t="n">
        <x:v>7584</x:v>
      </x:c>
      <x:c r="C52" s="66" t="n">
        <x:v>43000</x:v>
      </x:c>
      <x:c r="D52" s="66" t="n">
        <x:v>105600</x:v>
      </x:c>
      <x:c r="E52" s="66" t="n">
        <x:v>216000</x:v>
      </x:c>
      <x:c r="F52" s="66" t="n">
        <x:v>384000</x:v>
      </x:c>
      <x:c r="G52" s="61"/>
      <x:c r="H52" s="61"/>
      <x:c r="I52" s="61"/>
      <x:c r="J52" s="61"/>
    </x:row>
    <x:row r="53">
      <x:c r="A53" s="76" t="str">
        <x:v>Gesamtumsatz</x:v>
      </x:c>
      <x:c r="B53" s="77" t="n">
        <x:v>28869</x:v>
      </x:c>
      <x:c r="C53" s="77" t="n">
        <x:v>148135</x:v>
      </x:c>
      <x:c r="D53" s="77" t="n">
        <x:v>368363.712</x:v>
      </x:c>
      <x:c r="E53" s="77" t="n">
        <x:v>740377.83276</x:v>
      </x:c>
      <x:c r="F53" s="77" t="n">
        <x:v>1298701.0098870003</x:v>
      </x:c>
      <x:c r="G53" s="61"/>
      <x:c r="H53" s="61"/>
      <x:c r="I53" s="61"/>
      <x:c r="J53" s="61"/>
    </x:row>
    <x:row r="54">
      <x:c r="A54" s="65" t="str">
        <x:v>Variable Kosten</x:v>
      </x:c>
      <x:c r="B54" s="66" t="n">
        <x:v>0</x:v>
      </x:c>
      <x:c r="C54" s="66" t="n">
        <x:v>0</x:v>
      </x:c>
      <x:c r="D54" s="66" t="n">
        <x:v>0</x:v>
      </x:c>
      <x:c r="E54" s="66" t="n">
        <x:v>0</x:v>
      </x:c>
      <x:c r="F54" s="66" t="n">
        <x:v>0</x:v>
      </x:c>
      <x:c r="G54" s="61"/>
      <x:c r="H54" s="61"/>
      <x:c r="I54" s="61"/>
      <x:c r="J54" s="61"/>
    </x:row>
    <x:row r="55">
      <x:c r="A55" s="65" t="str">
        <x:v>Fixkosten inkl. Einmalaufwand</x:v>
      </x:c>
      <x:c r="B55" s="66" t="n">
        <x:v>18370</x:v>
      </x:c>
      <x:c r="C55" s="66" t="n">
        <x:v>14820</x:v>
      </x:c>
      <x:c r="D55" s="66" t="n">
        <x:v>30000</x:v>
      </x:c>
      <x:c r="E55" s="66" t="n">
        <x:v>55000</x:v>
      </x:c>
      <x:c r="F55" s="66" t="n">
        <x:v>90000</x:v>
      </x:c>
      <x:c r="G55" s="61"/>
      <x:c r="H55" s="61"/>
      <x:c r="I55" s="61"/>
      <x:c r="J55" s="61"/>
    </x:row>
    <x:row r="56">
      <x:c r="A56" s="65" t="str">
        <x:v>Personalaufwand cash</x:v>
      </x:c>
      <x:c r="B56" s="66" t="n">
        <x:v>0</x:v>
      </x:c>
      <x:c r="C56" s="66" t="n">
        <x:v>0</x:v>
      </x:c>
      <x:c r="D56" s="66" t="n">
        <x:v>132000</x:v>
      </x:c>
      <x:c r="E56" s="66" t="n">
        <x:v>260000</x:v>
      </x:c>
      <x:c r="F56" s="66" t="n">
        <x:v>450000</x:v>
      </x:c>
      <x:c r="G56" s="61"/>
      <x:c r="H56" s="61"/>
      <x:c r="I56" s="61"/>
      <x:c r="J56" s="61"/>
    </x:row>
    <x:row r="57">
      <x:c r="A57" s="76" t="str">
        <x:v>EBITDA</x:v>
      </x:c>
      <x:c r="B57" s="77" t="n">
        <x:v>10499</x:v>
      </x:c>
      <x:c r="C57" s="77" t="n">
        <x:v>133315</x:v>
      </x:c>
      <x:c r="D57" s="77" t="n">
        <x:v>206363.712</x:v>
      </x:c>
      <x:c r="E57" s="77" t="n">
        <x:v>425377.83276</x:v>
      </x:c>
      <x:c r="F57" s="77" t="n">
        <x:v>758701.0098870003</x:v>
      </x:c>
      <x:c r="G57" s="61"/>
      <x:c r="H57" s="61"/>
      <x:c r="I57" s="61"/>
      <x:c r="J57" s="61"/>
    </x:row>
    <x:row r="58">
      <x:c r="A58" s="65" t="str">
        <x:v>EBITDA-Marge</x:v>
      </x:c>
      <x:c r="B58" s="74" t="n">
        <x:f>IF(B53=0,0,B57/B53)</x:f>
        <x:v>0.3636773009110118</x:v>
      </x:c>
      <x:c r="C58" s="74" t="n">
        <x:f>IF(C53=0,0,C57/C53)</x:f>
        <x:v>0.8999561211057482</x:v>
      </x:c>
      <x:c r="D58" s="74" t="n">
        <x:f>IF(D53=0,0,D57/D53)</x:f>
        <x:v>0.5602172670037596</x:v>
      </x:c>
      <x:c r="E58" s="74" t="n">
        <x:f>IF(E53=0,0,E57/E53)</x:f>
        <x:v>0.5745415569429805</x:v>
      </x:c>
      <x:c r="F58" s="74" t="n">
        <x:f>IF(F53=0,0,F57/F53)</x:f>
        <x:v>0.5841999075314608</x:v>
      </x:c>
      <x:c r="G58" s="61"/>
      <x:c r="H58" s="61"/>
      <x:c r="I58" s="61"/>
      <x:c r="J58" s="61"/>
    </x:row>
    <x:row r="59">
      <x:c r="A59" s="65" t="str">
        <x:v>EBIT</x:v>
      </x:c>
      <x:c r="B59" s="66" t="n">
        <x:v>10165.666666666666</x:v>
      </x:c>
      <x:c r="C59" s="66" t="n">
        <x:v>132915</x:v>
      </x:c>
      <x:c r="D59" s="66" t="n">
        <x:v>206097.04533333334</x:v>
      </x:c>
      <x:c r="E59" s="66" t="n">
        <x:v>425377.83276</x:v>
      </x:c>
      <x:c r="F59" s="66" t="n">
        <x:v>758701.0098870003</x:v>
      </x:c>
      <x:c r="G59" s="61"/>
      <x:c r="H59" s="61"/>
      <x:c r="I59" s="61"/>
      <x:c r="J59" s="61"/>
    </x:row>
    <x:row r="60">
      <x:c r="A60" s="65" t="str">
        <x:v>Steuern</x:v>
      </x:c>
      <x:c r="B60" s="66" t="n">
        <x:v>3352.1285833333327</x:v>
      </x:c>
      <x:c r="C60" s="66" t="n">
        <x:v>43828.721249999995</x:v>
      </x:c>
      <x:c r="D60" s="66" t="n">
        <x:v>65786.1768704</x:v>
      </x:c>
      <x:c r="E60" s="66" t="n">
        <x:v>131292.868081374</x:v>
      </x:c>
      <x:c r="F60" s="66" t="n">
        <x:v>226168.77104731477</x:v>
      </x:c>
      <x:c r="G60" s="61"/>
      <x:c r="H60" s="61"/>
      <x:c r="I60" s="61"/>
      <x:c r="J60" s="61"/>
    </x:row>
    <x:row r="61">
      <x:c r="A61" s="65" t="str">
        <x:v>Jahresergebnis</x:v>
      </x:c>
      <x:c r="B61" s="66" t="n">
        <x:v>6813.538083333333</x:v>
      </x:c>
      <x:c r="C61" s="66" t="n">
        <x:v>89086.27875</x:v>
      </x:c>
      <x:c r="D61" s="66" t="n">
        <x:v>140310.86846293334</x:v>
      </x:c>
      <x:c r="E61" s="66" t="n">
        <x:v>294084.96467862604</x:v>
      </x:c>
      <x:c r="F61" s="66" t="n">
        <x:v>532532.2388396856</x:v>
      </x:c>
      <x:c r="G61" s="61"/>
      <x:c r="H61" s="61"/>
      <x:c r="I61" s="61"/>
      <x:c r="J61" s="61"/>
    </x:row>
    <x:row r="62">
      <x:c r="A62" s="65" t="str">
        <x:v>Investitionen</x:v>
      </x:c>
      <x:c r="B62" s="66" t="n">
        <x:v>1200</x:v>
      </x:c>
      <x:c r="C62" s="66" t="n">
        <x:v>0</x:v>
      </x:c>
      <x:c r="D62" s="66" t="n">
        <x:v>8000</x:v>
      </x:c>
      <x:c r="E62" s="66" t="n">
        <x:v>20000</x:v>
      </x:c>
      <x:c r="F62" s="66" t="n">
        <x:v>40000</x:v>
      </x:c>
      <x:c r="G62" s="61"/>
      <x:c r="H62" s="61"/>
      <x:c r="I62" s="61"/>
      <x:c r="J62" s="61"/>
    </x:row>
    <x:row r="63">
      <x:c r="A63" s="65" t="str">
        <x:v>Netto-Cashflow</x:v>
      </x:c>
      <x:c r="B63" s="66" t="n">
        <x:v>17547.19641666667</x:v>
      </x:c>
      <x:c r="C63" s="66" t="n">
        <x:v>111888.09625</x:v>
      </x:c>
      <x:c r="D63" s="66" t="n">
        <x:v>132577.5351296</x:v>
      </x:c>
      <x:c r="E63" s="66" t="n">
        <x:v>274084.96467862604</x:v>
      </x:c>
      <x:c r="F63" s="66" t="n">
        <x:v>492532.23883968557</x:v>
      </x:c>
      <x:c r="G63" s="61"/>
      <x:c r="H63" s="61"/>
      <x:c r="I63" s="61"/>
      <x:c r="J63" s="61"/>
    </x:row>
    <x:row r="64">
      <x:c r="A64" s="76" t="str">
        <x:v>Endliquidität</x:v>
      </x:c>
      <x:c r="B64" s="77" t="n">
        <x:v>19547.196416666666</x:v>
      </x:c>
      <x:c r="C64" s="77" t="n">
        <x:v>131435.29266666668</x:v>
      </x:c>
      <x:c r="D64" s="77" t="n">
        <x:v>264012.82779626665</x:v>
      </x:c>
      <x:c r="E64" s="77" t="n">
        <x:v>538097.7924748927</x:v>
      </x:c>
      <x:c r="F64" s="77" t="n">
        <x:v>1030630.0313145783</x:v>
      </x:c>
      <x:c r="G64" s="61"/>
      <x:c r="H64" s="61"/>
      <x:c r="I64" s="61"/>
      <x:c r="J64" s="61"/>
    </x:row>
  </x:sheetData>
  <x:mergeCells>
    <x:mergeCell ref="A1:J1"/>
    <x:mergeCell ref="A2:J2"/>
    <x:mergeCell ref="A4:F4"/>
    <x:mergeCell ref="A25:F25"/>
    <x:mergeCell ref="A46:F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72" t="str">
        <x:v>Unit Economics · Widget-SaaS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 ht="26" customHeight="1">
      <x:c r="A2" s="62" t="str">
        <x:v>Ausgewiesen auf Basis des Blended-MRR und der Szenarioannahmen. LTV ist eine vereinfachte, noch nicht empirisch validierte Modellgröße.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</x:row>
    <x:row r="4">
      <x:c r="A4" s="63" t="str">
        <x:v>Kennzahl</x:v>
      </x:c>
      <x:c r="B4" s="63" t="str">
        <x:v>Pessimistisch</x:v>
      </x:c>
      <x:c r="C4" s="63" t="str">
        <x:v>Realistisch</x:v>
      </x:c>
      <x:c r="D4" s="63" t="str">
        <x:v>Optimistisch</x:v>
      </x:c>
      <x:c r="E4" s="61"/>
      <x:c r="F4" s="61"/>
      <x:c r="G4" s="61"/>
      <x:c r="H4" s="61"/>
      <x:c r="I4" s="61"/>
      <x:c r="J4" s="61"/>
    </x:row>
    <x:row r="5">
      <x:c r="A5" s="65" t="str">
        <x:v>Blended MRR/Kunde</x:v>
      </x:c>
      <x:c r="B5" s="73" t="n">
        <x:v>76.00000000000001</x:v>
      </x:c>
      <x:c r="C5" s="73" t="n">
        <x:v>101.5</x:v>
      </x:c>
      <x:c r="D5" s="73" t="n">
        <x:v>129</x:v>
      </x:c>
      <x:c r="E5" s="61"/>
      <x:c r="F5" s="61"/>
      <x:c r="G5" s="61"/>
      <x:c r="H5" s="61"/>
      <x:c r="I5" s="61"/>
      <x:c r="J5" s="61"/>
    </x:row>
    <x:row r="6">
      <x:c r="A6" s="65" t="str">
        <x:v>Deckungsbeitrag/Kunde/Monat</x:v>
      </x:c>
      <x:c r="B6" s="73" t="n">
        <x:v>76.00000000000001</x:v>
      </x:c>
      <x:c r="C6" s="73" t="n">
        <x:v>101.5</x:v>
      </x:c>
      <x:c r="D6" s="73" t="n">
        <x:v>129</x:v>
      </x:c>
      <x:c r="E6" s="61"/>
      <x:c r="F6" s="61"/>
      <x:c r="G6" s="61"/>
      <x:c r="H6" s="61"/>
      <x:c r="I6" s="61"/>
      <x:c r="J6" s="61"/>
    </x:row>
    <x:row r="7">
      <x:c r="A7" s="65" t="str">
        <x:v>Deckungsbeitragsmarge</x:v>
      </x:c>
      <x:c r="B7" s="74" t="n">
        <x:v>1</x:v>
      </x:c>
      <x:c r="C7" s="74" t="n">
        <x:v>1</x:v>
      </x:c>
      <x:c r="D7" s="74" t="n">
        <x:v>1</x:v>
      </x:c>
      <x:c r="E7" s="61"/>
      <x:c r="F7" s="61"/>
      <x:c r="G7" s="61"/>
      <x:c r="H7" s="61"/>
      <x:c r="I7" s="61"/>
      <x:c r="J7" s="61"/>
    </x:row>
    <x:row r="8">
      <x:c r="A8" s="65" t="str">
        <x:v>Cash-CAC</x:v>
      </x:c>
      <x:c r="B8" s="66" t="n">
        <x:v>600</x:v>
      </x:c>
      <x:c r="C8" s="66" t="n">
        <x:v>250</x:v>
      </x:c>
      <x:c r="D8" s="66" t="n">
        <x:v>100</x:v>
      </x:c>
      <x:c r="E8" s="61"/>
      <x:c r="F8" s="61"/>
      <x:c r="G8" s="61"/>
      <x:c r="H8" s="61"/>
      <x:c r="I8" s="61"/>
      <x:c r="J8" s="61"/>
    </x:row>
    <x:row r="9">
      <x:c r="A9" s="65" t="str">
        <x:v>Vollkosten-CAC</x:v>
      </x:c>
      <x:c r="B9" s="66" t="n">
        <x:v>1500</x:v>
      </x:c>
      <x:c r="C9" s="66" t="n">
        <x:v>750</x:v>
      </x:c>
      <x:c r="D9" s="66" t="n">
        <x:v>350</x:v>
      </x:c>
      <x:c r="E9" s="61"/>
      <x:c r="F9" s="61"/>
      <x:c r="G9" s="61"/>
      <x:c r="H9" s="61"/>
      <x:c r="I9" s="61"/>
      <x:c r="J9" s="61"/>
    </x:row>
    <x:row r="10">
      <x:c r="A10" s="65" t="str">
        <x:v>LTV (vereinfachtes Churn-Modell)</x:v>
      </x:c>
      <x:c r="B10" s="66" t="n">
        <x:v>2533.333333333334</x:v>
      </x:c>
      <x:c r="C10" s="66" t="n">
        <x:v>5075</x:v>
      </x:c>
      <x:c r="D10" s="66" t="n">
        <x:v>12900</x:v>
      </x:c>
      <x:c r="E10" s="61"/>
      <x:c r="F10" s="61"/>
      <x:c r="G10" s="61"/>
      <x:c r="H10" s="61"/>
      <x:c r="I10" s="61"/>
      <x:c r="J10" s="61"/>
    </x:row>
    <x:row r="11">
      <x:c r="A11" s="65" t="str">
        <x:v>LTV/Cash-CAC</x:v>
      </x:c>
      <x:c r="B11" s="68" t="n">
        <x:v>4.222222222222223</x:v>
      </x:c>
      <x:c r="C11" s="68" t="n">
        <x:v>20.3</x:v>
      </x:c>
      <x:c r="D11" s="68" t="n">
        <x:v>129</x:v>
      </x:c>
      <x:c r="E11" s="61"/>
      <x:c r="F11" s="61"/>
      <x:c r="G11" s="61"/>
      <x:c r="H11" s="61"/>
      <x:c r="I11" s="61"/>
      <x:c r="J11" s="61"/>
    </x:row>
    <x:row r="12">
      <x:c r="A12" s="65" t="str">
        <x:v>LTV/Vollkosten-CAC</x:v>
      </x:c>
      <x:c r="B12" s="68" t="n">
        <x:v>1.6888888888888893</x:v>
      </x:c>
      <x:c r="C12" s="68" t="n">
        <x:v>6.766666666666667</x:v>
      </x:c>
      <x:c r="D12" s="68" t="n">
        <x:v>36.857142857142854</x:v>
      </x:c>
      <x:c r="E12" s="61"/>
      <x:c r="F12" s="61"/>
      <x:c r="G12" s="61"/>
      <x:c r="H12" s="61"/>
      <x:c r="I12" s="61"/>
      <x:c r="J12" s="61"/>
    </x:row>
    <x:row r="13">
      <x:c r="A13" s="65" t="str">
        <x:v>Cash-CAC Payback</x:v>
      </x:c>
      <x:c r="B13" s="78" t="n">
        <x:v>7.894736842105262</x:v>
      </x:c>
      <x:c r="C13" s="78" t="n">
        <x:v>2.4630541871921183</x:v>
      </x:c>
      <x:c r="D13" s="78" t="n">
        <x:v>0.7751937984496124</x:v>
      </x:c>
      <x:c r="E13" s="61"/>
      <x:c r="F13" s="61"/>
      <x:c r="G13" s="61"/>
      <x:c r="H13" s="61"/>
      <x:c r="I13" s="61"/>
      <x:c r="J13" s="61"/>
    </x:row>
    <x:row r="14">
      <x:c r="A14" s="65" t="str">
        <x:v>Vollkosten-CAC Payback</x:v>
      </x:c>
      <x:c r="B14" s="78" t="n">
        <x:v>19.736842105263154</x:v>
      </x:c>
      <x:c r="C14" s="78" t="n">
        <x:v>7.389162561576355</x:v>
      </x:c>
      <x:c r="D14" s="78" t="n">
        <x:v>2.7131782945736433</x:v>
      </x:c>
      <x:c r="E14" s="61"/>
      <x:c r="F14" s="61"/>
      <x:c r="G14" s="61"/>
      <x:c r="H14" s="61"/>
      <x:c r="I14" s="61"/>
      <x:c r="J14" s="61"/>
    </x:row>
    <x:row r="15">
      <x:c r="A15" s="65" t="str">
        <x:v>Cash Break-even Kunden (ohne Ads)</x:v>
      </x:c>
      <x:c r="B15" s="69" t="n">
        <x:v>10.328947368421051</x:v>
      </x:c>
      <x:c r="C15" s="69" t="n">
        <x:v>9.211822660098521</x:v>
      </x:c>
      <x:c r="D15" s="69" t="n">
        <x:v>9.573643410852712</x:v>
      </x:c>
      <x:c r="E15" s="61"/>
      <x:c r="F15" s="61"/>
      <x:c r="G15" s="61"/>
      <x:c r="H15" s="61"/>
      <x:c r="I15" s="61"/>
      <x:c r="J15" s="61"/>
    </x:row>
    <x:row r="16">
      <x:c r="A16" s="61"/>
      <x:c r="B16" s="61"/>
      <x:c r="C16" s="61"/>
      <x:c r="D16" s="61"/>
      <x:c r="E16" s="61"/>
      <x:c r="F16" s="61"/>
      <x:c r="G16" s="61"/>
      <x:c r="H16" s="61"/>
      <x:c r="I16" s="61"/>
      <x:c r="J16" s="61"/>
    </x:row>
    <x:row r="17">
      <x:c r="A17" s="61"/>
      <x:c r="B17" s="61"/>
      <x:c r="C17" s="61"/>
      <x:c r="D17" s="61"/>
      <x:c r="E17" s="61"/>
      <x:c r="F17" s="61"/>
      <x:c r="G17" s="61"/>
      <x:c r="H17" s="61"/>
      <x:c r="I17" s="61"/>
      <x:c r="J17" s="61"/>
    </x:row>
    <x:row r="18" ht="68" customHeight="1">
      <x:c r="A18" s="62" t="str">
        <x:v>Warnhinweis: Die modellierte Deckungsbeitragsmarge von 100% gilt nur innerhalb der aktuellen API-/Cloud-Kontingente. Vor belastbarer Verwendung sind Lasttests, Anbieterlimits, 3–5 zahlende Designpartner, Kohorten-Churn und tatsächlich gemessene Akquisitionsstunden erforderlich.</x:v>
      </x:c>
      <x:c r="B18" s="62"/>
      <x:c r="C18" s="62"/>
      <x:c r="D18" s="62"/>
      <x:c r="E18" s="61"/>
      <x:c r="F18" s="61"/>
      <x:c r="G18" s="61"/>
      <x:c r="H18" s="61"/>
      <x:c r="I18" s="61"/>
      <x:c r="J18" s="61"/>
    </x:row>
  </x:sheetData>
  <x:mergeCells>
    <x:mergeCell ref="A1:J1"/>
    <x:mergeCell ref="A2:J2"/>
    <x:mergeCell ref="A18:D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72" t="str">
        <x:v>Sensitivitätsanalyse · realistisches Szenario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 ht="26" customHeight="1">
      <x:c r="A2" s="62" t="str">
        <x:v>Y5-EBITDA bei Kunden- und Preis/ARPA-Abweichungen; darunter Werbeumsatz pro Monat bei Pageview- und RPM-Kombinationen.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</x:row>
    <x:row r="4">
      <x:c r="A4" s="63" t="str">
        <x:v>Y5 EBITDA (€)</x:v>
      </x:c>
      <x:c r="B4" s="63" t="str">
        <x:v>ARPA 80%</x:v>
      </x:c>
      <x:c r="C4" s="63" t="str">
        <x:v>ARPA 90%</x:v>
      </x:c>
      <x:c r="D4" s="63" t="str">
        <x:v>ARPA 100%</x:v>
      </x:c>
      <x:c r="E4" s="63" t="str">
        <x:v>ARPA 110%</x:v>
      </x:c>
      <x:c r="F4" s="63" t="str">
        <x:v>ARPA 120%</x:v>
      </x:c>
      <x:c r="G4" s="61"/>
      <x:c r="H4" s="61"/>
      <x:c r="I4" s="61"/>
      <x:c r="J4" s="61"/>
    </x:row>
    <x:row r="5">
      <x:c r="A5" s="65" t="str">
        <x:v>Kunden 50%</x:v>
      </x:c>
      <x:c r="B5" s="66" t="n">
        <x:v>-40105.20317011999</x:v>
      </x:c>
      <x:c r="C5" s="66" t="n">
        <x:v>-25368.35356638499</x:v>
      </x:c>
      <x:c r="D5" s="66" t="n">
        <x:v>-10631.503962649993</x:v>
      </x:c>
      <x:c r="E5" s="66" t="n">
        <x:v>4105.345641085034</x:v>
      </x:c>
      <x:c r="F5" s="66" t="n">
        <x:v>18842.195244820003</x:v>
      </x:c>
      <x:c r="G5" s="61"/>
      <x:c r="H5" s="61"/>
      <x:c r="I5" s="61"/>
      <x:c r="J5" s="61"/>
    </x:row>
    <x:row r="6">
      <x:c r="A6" s="65" t="str">
        <x:v>Kunden 75%</x:v>
      </x:c>
      <x:c r="B6" s="66" t="n">
        <x:v>18842.195244820003</x:v>
      </x:c>
      <x:c r="C6" s="66" t="n">
        <x:v>40947.469650422514</x:v>
      </x:c>
      <x:c r="D6" s="66" t="n">
        <x:v>63052.744056024996</x:v>
      </x:c>
      <x:c r="E6" s="66" t="n">
        <x:v>85158.01846162754</x:v>
      </x:c>
      <x:c r="F6" s="66" t="n">
        <x:v>107263.29286722996</x:v>
      </x:c>
      <x:c r="G6" s="61"/>
      <x:c r="H6" s="61"/>
      <x:c r="I6" s="61"/>
      <x:c r="J6" s="61"/>
    </x:row>
    <x:row r="7">
      <x:c r="A7" s="65" t="str">
        <x:v>Kunden 100%</x:v>
      </x:c>
      <x:c r="B7" s="66" t="n">
        <x:v>77789.59365976002</x:v>
      </x:c>
      <x:c r="C7" s="66" t="n">
        <x:v>107263.29286723002</x:v>
      </x:c>
      <x:c r="D7" s="66" t="n">
        <x:v>136736.9920747</x:v>
      </x:c>
      <x:c r="E7" s="66" t="n">
        <x:v>166210.69128217007</x:v>
      </x:c>
      <x:c r="F7" s="66" t="n">
        <x:v>195684.39048964</x:v>
      </x:c>
      <x:c r="G7" s="61"/>
      <x:c r="H7" s="61"/>
      <x:c r="I7" s="61"/>
      <x:c r="J7" s="61"/>
    </x:row>
    <x:row r="8">
      <x:c r="A8" s="65" t="str">
        <x:v>Kunden 125%</x:v>
      </x:c>
      <x:c r="B8" s="66" t="n">
        <x:v>136736.9920747</x:v>
      </x:c>
      <x:c r="C8" s="66" t="n">
        <x:v>173579.11608403752</x:v>
      </x:c>
      <x:c r="D8" s="66" t="n">
        <x:v>210421.24009337503</x:v>
      </x:c>
      <x:c r="E8" s="66" t="n">
        <x:v>247263.36410271254</x:v>
      </x:c>
      <x:c r="F8" s="66" t="n">
        <x:v>284105.48811205005</x:v>
      </x:c>
      <x:c r="G8" s="61"/>
      <x:c r="H8" s="61"/>
      <x:c r="I8" s="61"/>
      <x:c r="J8" s="61"/>
    </x:row>
    <x:row r="9">
      <x:c r="A9" s="65" t="str">
        <x:v>Kunden 150%</x:v>
      </x:c>
      <x:c r="B9" s="66" t="n">
        <x:v>195684.39048964</x:v>
      </x:c>
      <x:c r="C9" s="66" t="n">
        <x:v>239894.93930084503</x:v>
      </x:c>
      <x:c r="D9" s="66" t="n">
        <x:v>284105.48811205</x:v>
      </x:c>
      <x:c r="E9" s="66" t="n">
        <x:v>328316.0369232551</x:v>
      </x:c>
      <x:c r="F9" s="66" t="n">
        <x:v>372526.5857344599</x:v>
      </x:c>
      <x:c r="G9" s="61"/>
      <x:c r="H9" s="61"/>
      <x:c r="I9" s="61"/>
      <x:c r="J9" s="61"/>
    </x:row>
    <x:row r="10">
      <x:c r="A10" s="61"/>
      <x:c r="B10" s="61"/>
      <x:c r="C10" s="61"/>
      <x:c r="D10" s="61"/>
      <x:c r="E10" s="61"/>
      <x:c r="F10" s="61"/>
      <x:c r="G10" s="61"/>
      <x:c r="H10" s="61"/>
      <x:c r="I10" s="61"/>
      <x:c r="J10" s="61"/>
    </x:row>
    <x:row r="11">
      <x:c r="A11" s="61"/>
      <x:c r="B11" s="61"/>
      <x:c r="C11" s="61"/>
      <x:c r="D11" s="61"/>
      <x:c r="E11" s="61"/>
      <x:c r="F11" s="61"/>
      <x:c r="G11" s="61"/>
      <x:c r="H11" s="61"/>
      <x:c r="I11" s="61"/>
      <x:c r="J11" s="61"/>
    </x:row>
    <x:row r="12">
      <x:c r="A12" s="63" t="str">
        <x:v>Werbeumsatz €/Monat</x:v>
      </x:c>
      <x:c r="B12" s="63" t="str">
        <x:v>RPM €2,50</x:v>
      </x:c>
      <x:c r="C12" s="63" t="str">
        <x:v>RPM €4</x:v>
      </x:c>
      <x:c r="D12" s="63" t="str">
        <x:v>RPM €5</x:v>
      </x:c>
      <x:c r="E12" s="63" t="str">
        <x:v>RPM €6</x:v>
      </x:c>
      <x:c r="F12" s="63" t="str">
        <x:v>RPM €8</x:v>
      </x:c>
      <x:c r="G12" s="61"/>
      <x:c r="H12" s="61"/>
      <x:c r="I12" s="61"/>
      <x:c r="J12" s="61"/>
    </x:row>
    <x:row r="13">
      <x:c r="A13" s="65" t="str">
        <x:v>100k PV</x:v>
      </x:c>
      <x:c r="B13" s="66" t="n">
        <x:v>250</x:v>
      </x:c>
      <x:c r="C13" s="66" t="n">
        <x:v>400</x:v>
      </x:c>
      <x:c r="D13" s="66" t="n">
        <x:v>500</x:v>
      </x:c>
      <x:c r="E13" s="66" t="n">
        <x:v>600</x:v>
      </x:c>
      <x:c r="F13" s="66" t="n">
        <x:v>800</x:v>
      </x:c>
      <x:c r="G13" s="61"/>
      <x:c r="H13" s="61"/>
      <x:c r="I13" s="61"/>
      <x:c r="J13" s="61"/>
    </x:row>
    <x:row r="14">
      <x:c r="A14" s="65" t="str">
        <x:v>250k PV</x:v>
      </x:c>
      <x:c r="B14" s="66" t="n">
        <x:v>625</x:v>
      </x:c>
      <x:c r="C14" s="66" t="n">
        <x:v>1000</x:v>
      </x:c>
      <x:c r="D14" s="66" t="n">
        <x:v>1250</x:v>
      </x:c>
      <x:c r="E14" s="66" t="n">
        <x:v>1500</x:v>
      </x:c>
      <x:c r="F14" s="66" t="n">
        <x:v>2000</x:v>
      </x:c>
      <x:c r="G14" s="61"/>
      <x:c r="H14" s="61"/>
      <x:c r="I14" s="61"/>
      <x:c r="J14" s="61"/>
    </x:row>
    <x:row r="15">
      <x:c r="A15" s="65" t="str">
        <x:v>500k PV</x:v>
      </x:c>
      <x:c r="B15" s="66" t="n">
        <x:v>1250</x:v>
      </x:c>
      <x:c r="C15" s="66" t="n">
        <x:v>2000</x:v>
      </x:c>
      <x:c r="D15" s="66" t="n">
        <x:v>2500</x:v>
      </x:c>
      <x:c r="E15" s="66" t="n">
        <x:v>3000</x:v>
      </x:c>
      <x:c r="F15" s="66" t="n">
        <x:v>4000</x:v>
      </x:c>
      <x:c r="G15" s="61"/>
      <x:c r="H15" s="61"/>
      <x:c r="I15" s="61"/>
      <x:c r="J15" s="61"/>
    </x:row>
    <x:row r="16">
      <x:c r="A16" s="65" t="str">
        <x:v>1000k PV</x:v>
      </x:c>
      <x:c r="B16" s="66" t="n">
        <x:v>2500</x:v>
      </x:c>
      <x:c r="C16" s="66" t="n">
        <x:v>4000</x:v>
      </x:c>
      <x:c r="D16" s="66" t="n">
        <x:v>5000</x:v>
      </x:c>
      <x:c r="E16" s="66" t="n">
        <x:v>6000</x:v>
      </x:c>
      <x:c r="F16" s="66" t="n">
        <x:v>8000</x:v>
      </x:c>
      <x:c r="G16" s="61"/>
      <x:c r="H16" s="61"/>
      <x:c r="I16" s="61"/>
      <x:c r="J16" s="61"/>
    </x:row>
    <x:row r="17">
      <x:c r="A17" s="65" t="str">
        <x:v>1500k PV</x:v>
      </x:c>
      <x:c r="B17" s="66" t="n">
        <x:v>3750</x:v>
      </x:c>
      <x:c r="C17" s="66" t="n">
        <x:v>6000</x:v>
      </x:c>
      <x:c r="D17" s="66" t="n">
        <x:v>7500</x:v>
      </x:c>
      <x:c r="E17" s="66" t="n">
        <x:v>9000</x:v>
      </x:c>
      <x:c r="F17" s="66" t="n">
        <x:v>12000</x:v>
      </x:c>
      <x:c r="G17" s="61"/>
      <x:c r="H17" s="61"/>
      <x:c r="I17" s="61"/>
      <x:c r="J17" s="61"/>
    </x:row>
  </x:sheetData>
  <x:mergeCells>
    <x:mergeCell ref="A1:J1"/>
    <x:mergeCell ref="A2:J2"/>
  </x:mergeCells>
  <x:conditionalFormatting sqref="B5:F9">
    <x:cfRule type="colorScale" priority="1">
      <x:colorScale>
        <x:cfvo type="min"/>
        <x:cfvo type="percentile" val="50"/>
        <x:cfvo type="max"/>
        <x:color rgb="FFB54747"/>
        <x:color rgb="FFFFF4CC"/>
        <x:color rgb="FF2E7D5B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2" customHeight="1">
      <x:c r="A1" s="72" t="str">
        <x:v>Modellprüfungen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 ht="26" customHeight="1">
      <x:c r="A2" s="62" t="str">
        <x:v>Alle Prüfpunkte müssen PASS ergeben. Wertevergleich erfolgt auf dem intern berechneten Modellstand.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</x:row>
    <x:row r="4">
      <x:c r="A4" s="63" t="str">
        <x:v>Prüfung</x:v>
      </x:c>
      <x:c r="B4" s="63" t="str">
        <x:v>Pessimistisch</x:v>
      </x:c>
      <x:c r="C4" s="63" t="str">
        <x:v>Realistisch</x:v>
      </x:c>
      <x:c r="D4" s="63" t="str">
        <x:v>Optimistisch</x:v>
      </x:c>
      <x:c r="E4" s="61"/>
      <x:c r="F4" s="61"/>
      <x:c r="G4" s="61"/>
      <x:c r="H4" s="61"/>
      <x:c r="I4" s="61"/>
      <x:c r="J4" s="61"/>
    </x:row>
    <x:row r="5">
      <x:c r="A5" s="65" t="str">
        <x:v>Planmix = 100%</x:v>
      </x:c>
      <x:c r="B5" s="65" t="str">
        <x:v>PASS</x:v>
      </x:c>
      <x:c r="C5" s="65" t="str">
        <x:v>PASS</x:v>
      </x:c>
      <x:c r="D5" s="65" t="str">
        <x:v>PASS</x:v>
      </x:c>
      <x:c r="E5" s="61"/>
      <x:c r="F5" s="61"/>
      <x:c r="G5" s="61"/>
      <x:c r="H5" s="61"/>
      <x:c r="I5" s="61"/>
      <x:c r="J5" s="61"/>
    </x:row>
    <x:row r="6">
      <x:c r="A6" s="65" t="str">
        <x:v>Umsatz = Abo + Werbung</x:v>
      </x:c>
      <x:c r="B6" s="65" t="str">
        <x:v>PASS</x:v>
      </x:c>
      <x:c r="C6" s="65" t="str">
        <x:v>PASS</x:v>
      </x:c>
      <x:c r="D6" s="65" t="str">
        <x:v>PASS</x:v>
      </x:c>
      <x:c r="E6" s="61"/>
      <x:c r="F6" s="61"/>
      <x:c r="G6" s="61"/>
      <x:c r="H6" s="61"/>
      <x:c r="I6" s="61"/>
      <x:c r="J6" s="61"/>
    </x:row>
    <x:row r="7">
      <x:c r="A7" s="65" t="str">
        <x:v>Endliquidität roll-forward</x:v>
      </x:c>
      <x:c r="B7" s="65" t="str">
        <x:v>PASS</x:v>
      </x:c>
      <x:c r="C7" s="65" t="str">
        <x:v>PASS</x:v>
      </x:c>
      <x:c r="D7" s="65" t="str">
        <x:v>PASS</x:v>
      </x:c>
      <x:c r="E7" s="61"/>
      <x:c r="F7" s="61"/>
      <x:c r="G7" s="61"/>
      <x:c r="H7" s="61"/>
      <x:c r="I7" s="61"/>
      <x:c r="J7" s="61"/>
    </x:row>
    <x:row r="8">
      <x:c r="A8" s="65" t="str">
        <x:v>EBITDA-Rechnung</x:v>
      </x:c>
      <x:c r="B8" s="65" t="str">
        <x:v>PASS</x:v>
      </x:c>
      <x:c r="C8" s="65" t="str">
        <x:v>PASS</x:v>
      </x:c>
      <x:c r="D8" s="65" t="str">
        <x:v>PASS</x:v>
      </x:c>
      <x:c r="E8" s="61"/>
      <x:c r="F8" s="61"/>
      <x:c r="G8" s="61"/>
      <x:c r="H8" s="61"/>
      <x:c r="I8" s="61"/>
      <x:c r="J8" s="61"/>
    </x:row>
    <x:row r="9">
      <x:c r="A9" s="65" t="str">
        <x:v>Keine negativen Kundenzahlen</x:v>
      </x:c>
      <x:c r="B9" s="65" t="str">
        <x:v>PASS</x:v>
      </x:c>
      <x:c r="C9" s="65" t="str">
        <x:v>PASS</x:v>
      </x:c>
      <x:c r="D9" s="65" t="str">
        <x:v>PASS</x:v>
      </x:c>
      <x:c r="E9" s="61"/>
      <x:c r="F9" s="61"/>
      <x:c r="G9" s="61"/>
      <x:c r="H9" s="61"/>
      <x:c r="I9" s="61"/>
      <x:c r="J9" s="61"/>
    </x:row>
    <x:row r="10">
      <x:c r="A10" s="65" t="str">
        <x:v>J1/J2 aus Monatswerten</x:v>
      </x:c>
      <x:c r="B10" s="65" t="str">
        <x:v>PASS</x:v>
      </x:c>
      <x:c r="C10" s="65" t="str">
        <x:v>PASS</x:v>
      </x:c>
      <x:c r="D10" s="65" t="str">
        <x:v>PASS</x:v>
      </x:c>
      <x:c r="E10" s="61"/>
      <x:c r="F10" s="61"/>
      <x:c r="G10" s="61"/>
      <x:c r="H10" s="61"/>
      <x:c r="I10" s="61"/>
      <x:c r="J10" s="61"/>
    </x:row>
  </x:sheetData>
  <x:mergeCells>
    <x:mergeCell ref="A1:J1"/>
    <x:mergeCell ref="A2:J2"/>
  </x:mergeCells>
  <x:conditionalFormatting sqref="B5:D10">
    <x:cfRule type="containsText" dxfId="0" priority="1" operator="containsText" text="PASS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5" hidden="0" customWidth="1"/>
    <x:col min="3" max="3" width="78" hidden="0" customWidth="1"/>
    <x:col min="4" max="4" width="25" hidden="0" customWidth="1"/>
  </x:cols>
  <x:sheetData>
    <x:row r="1" ht="32" customHeight="1">
      <x:c r="A1" s="72" t="str">
        <x:v>Quellen &amp; Evidenzstatus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 ht="26" customHeight="1">
      <x:c r="A2" s="62" t="str">
        <x:v>Primärquellen bevorzugt. Gründerangaben und Modellannahmen sind als solche gekennzeichnet.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3">
      <x:c r="A3" s="61"/>
      <x:c r="B3" s="61"/>
      <x:c r="C3" s="61"/>
      <x:c r="D3" s="61"/>
      <x:c r="E3" s="61"/>
      <x:c r="F3" s="61"/>
      <x:c r="G3" s="61"/>
      <x:c r="H3" s="61"/>
      <x:c r="I3" s="61"/>
      <x:c r="J3" s="61"/>
    </x:row>
    <x:row r="4">
      <x:c r="A4" s="63" t="str">
        <x:v>Thema</x:v>
      </x:c>
      <x:c r="B4" s="63" t="str">
        <x:v>Quelle / Aussage</x:v>
      </x:c>
      <x:c r="C4" s="63" t="str">
        <x:v>URL</x:v>
      </x:c>
      <x:c r="D4" s="63" t="str">
        <x:v>Status</x:v>
      </x:c>
      <x:c r="E4" s="61"/>
      <x:c r="F4" s="61"/>
      <x:c r="G4" s="61"/>
      <x:c r="H4" s="61"/>
      <x:c r="I4" s="61"/>
      <x:c r="J4" s="61"/>
    </x:row>
    <x:row r="5">
      <x:c r="A5" s="79" t="str">
        <x:v>Planungsstandard</x:v>
      </x:c>
      <x:c r="B5" s="79" t="str">
        <x:v>SBA: 5-Jahres-Prognose; erstes Jahr monatlich/vierteljährlich</x:v>
      </x:c>
      <x:c r="C5" s="79" t="str">
        <x:v>https://www.sba.gov/business-guide/plan-your-business/write-your-business-plan?showAll=true</x:v>
      </x:c>
      <x:c r="D5" s="79" t="str">
        <x:v>Primärquelle</x:v>
      </x:c>
      <x:c r="E5" s="61"/>
      <x:c r="F5" s="61"/>
      <x:c r="G5" s="61"/>
      <x:c r="H5" s="61"/>
      <x:c r="I5" s="61"/>
      <x:c r="J5" s="61"/>
    </x:row>
    <x:row r="6">
      <x:c r="A6" s="79" t="str">
        <x:v>Digitalwerbung Europa</x:v>
      </x:c>
      <x:c r="B6" s="79" t="str">
        <x:v>IAB Europe AdEx 2025: 131 Mrd. €, +10,5%</x:v>
      </x:c>
      <x:c r="C6" s="79" t="str">
        <x:v>https://iabeurope.eu/knowledge_hub/iab-europe-adex-benchmark-2025-report/</x:v>
      </x:c>
      <x:c r="D6" s="79" t="str">
        <x:v>Branchenverband</x:v>
      </x:c>
      <x:c r="E6" s="61"/>
      <x:c r="F6" s="61"/>
      <x:c r="G6" s="61"/>
      <x:c r="H6" s="61"/>
      <x:c r="I6" s="61"/>
      <x:c r="J6" s="61"/>
    </x:row>
    <x:row r="7">
      <x:c r="A7" s="79" t="str">
        <x:v>Deutschland Werbung</x:v>
      </x:c>
      <x:c r="B7" s="79" t="str">
        <x:v>OVK/BVDW Prognose 2026: &gt;8 Mrd. € Display/Video</x:v>
      </x:c>
      <x:c r="C7" s="79" t="str">
        <x:v>https://www.bvdw.org/news-und-publikationen/ovk-prognose-digitaler-werbemarkt-waechst-auf-ueber-acht-milliarden-euro/</x:v>
      </x:c>
      <x:c r="D7" s="79" t="str">
        <x:v>Branchenverband</x:v>
      </x:c>
      <x:c r="E7" s="61"/>
      <x:c r="F7" s="61"/>
      <x:c r="G7" s="61"/>
      <x:c r="H7" s="61"/>
      <x:c r="I7" s="61"/>
      <x:c r="J7" s="61"/>
    </x:row>
    <x:row r="8">
      <x:c r="A8" s="79" t="str">
        <x:v>Publisher-Basis</x:v>
      </x:c>
      <x:c r="B8" s="79" t="str">
        <x:v>Eurostat: 76.328 EU Publishing-Unternehmen; DE 5.374 (2023 prov.)</x:v>
      </x:c>
      <x:c r="C8" s="79" t="str">
        <x:v>https://ec.europa.eu/eurostat/web/products-eurostat-news/w/ddn-20250502-1</x:v>
      </x:c>
      <x:c r="D8" s="79" t="str">
        <x:v>Primärquelle</x:v>
      </x:c>
      <x:c r="E8" s="61"/>
      <x:c r="F8" s="61"/>
      <x:c r="G8" s="61"/>
      <x:c r="H8" s="61"/>
      <x:c r="I8" s="61"/>
      <x:c r="J8" s="61"/>
    </x:row>
    <x:row r="9">
      <x:c r="A9" s="79" t="str">
        <x:v>Online News</x:v>
      </x:c>
      <x:c r="B9" s="79" t="str">
        <x:v>70% der EU-Internetnutzer konsumierten 2024 Online-News</x:v>
      </x:c>
      <x:c r="C9" s="79" t="str">
        <x:v>https://ec.europa.eu/eurostat/web/products-eurostat-news/w/ddn-20250710-2</x:v>
      </x:c>
      <x:c r="D9" s="79" t="str">
        <x:v>Primärquelle</x:v>
      </x:c>
      <x:c r="E9" s="61"/>
      <x:c r="F9" s="61"/>
      <x:c r="G9" s="61"/>
      <x:c r="H9" s="61"/>
      <x:c r="I9" s="61"/>
      <x:c r="J9" s="61"/>
    </x:row>
    <x:row r="10">
      <x:c r="A10" s="79" t="str">
        <x:v>Wettbewerb</x:v>
      </x:c>
      <x:c r="B10" s="79" t="str">
        <x:v>Sportmonks Widgets ab 59 €/Monat jährlich</x:v>
      </x:c>
      <x:c r="C10" s="79" t="str">
        <x:v>https://www.sportmonks.com/football-api/football-widgets/</x:v>
      </x:c>
      <x:c r="D10" s="79" t="str">
        <x:v>Anbieterquelle</x:v>
      </x:c>
      <x:c r="E10" s="61"/>
      <x:c r="F10" s="61"/>
      <x:c r="G10" s="61"/>
      <x:c r="H10" s="61"/>
      <x:c r="I10" s="61"/>
      <x:c r="J10" s="61"/>
    </x:row>
    <x:row r="11">
      <x:c r="A11" s="79" t="str">
        <x:v>Werbeerlöse</x:v>
      </x:c>
      <x:c r="B11" s="79" t="str">
        <x:v>Google AdSense Revenue Share</x:v>
      </x:c>
      <x:c r="C11" s="79" t="str">
        <x:v>https://support.google.com/adsense/answer/180195?hl=de</x:v>
      </x:c>
      <x:c r="D11" s="79" t="str">
        <x:v>Anbieterquelle</x:v>
      </x:c>
      <x:c r="E11" s="61"/>
      <x:c r="F11" s="61"/>
      <x:c r="G11" s="61"/>
      <x:c r="H11" s="61"/>
      <x:c r="I11" s="61"/>
      <x:c r="J11" s="61"/>
    </x:row>
    <x:row r="12">
      <x:c r="A12" s="79" t="str">
        <x:v>KI-Regulierung</x:v>
      </x:c>
      <x:c r="B12" s="79" t="str">
        <x:v>EU AI Act Transparenzleitlinien ab 02.08.2026</x:v>
      </x:c>
      <x:c r="C12" s="79" t="str">
        <x:v>https://digital-strategy.ec.europa.eu/en/news/commission-publishes-guidelines-transparency-obligations-providers-and-deployers-certain-ai-systems</x:v>
      </x:c>
      <x:c r="D12" s="79" t="str">
        <x:v>EU-Kommission</x:v>
      </x:c>
      <x:c r="E12" s="61"/>
      <x:c r="F12" s="61"/>
      <x:c r="G12" s="61"/>
      <x:c r="H12" s="61"/>
      <x:c r="I12" s="61"/>
      <x:c r="J12" s="61"/>
    </x:row>
    <x:row r="13">
      <x:c r="A13" s="79" t="str">
        <x:v>Steuern München</x:v>
      </x:c>
      <x:c r="B13" s="79" t="str">
        <x:v>Gewerbesteuerhebesatz München 490%</x:v>
      </x:c>
      <x:c r="C13" s="79" t="str">
        <x:v>https://stadt.muenchen.de/infos/hebesaetze-gewerbesteuer-grundsteuer.html</x:v>
      </x:c>
      <x:c r="D13" s="79" t="str">
        <x:v>Primärquelle</x:v>
      </x:c>
      <x:c r="E13" s="61"/>
      <x:c r="F13" s="61"/>
      <x:c r="G13" s="61"/>
      <x:c r="H13" s="61"/>
      <x:c r="I13" s="61"/>
      <x:c r="J13" s="61"/>
    </x:row>
    <x:row r="14">
      <x:c r="A14" s="79" t="str">
        <x:v>Körperschaftsteuer</x:v>
      </x:c>
      <x:c r="B14" s="79" t="str">
        <x:v>KStG §23: stufenweise Satzsenkung</x:v>
      </x:c>
      <x:c r="C14" s="79" t="str">
        <x:v>https://www.gesetze-im-internet.de/kstg_1977/__23.html</x:v>
      </x:c>
      <x:c r="D14" s="79" t="str">
        <x:v>Gesetz</x:v>
      </x:c>
      <x:c r="E14" s="61"/>
      <x:c r="F14" s="61"/>
      <x:c r="G14" s="61"/>
      <x:c r="H14" s="61"/>
      <x:c r="I14" s="61"/>
      <x:c r="J14" s="61"/>
    </x:row>
    <x:row r="15">
      <x:c r="A15" s="79" t="str">
        <x:v>Traction Web</x:v>
      </x:c>
      <x:c r="B15" s="79" t="str">
        <x:v>11.06.–19.07.: 69.919 Pageviews, 36.066 Sessions, 13.669 aktive Nutzer, 2:22 min Ø Interaktion</x:v>
      </x:c>
      <x:c r="C15" s="79" t="str">
        <x:v>IMG_2240–IMG_2244 (Google Analytics Screenshots)</x:v>
      </x:c>
      <x:c r="D15" s="79" t="str">
        <x:v>Screenshotbeleg; Property/Export noch zu archivieren</x:v>
      </x:c>
      <x:c r="E15" s="61"/>
      <x:c r="F15" s="61"/>
      <x:c r="G15" s="61"/>
      <x:c r="H15" s="61"/>
      <x:c r="I15" s="61"/>
      <x:c r="J15" s="61"/>
    </x:row>
    <x:row r="16">
      <x:c r="A16" s="79" t="str">
        <x:v>Medienresonanz</x:v>
      </x:c>
      <x:c r="B16" s="79" t="str">
        <x:v>Tagesschau-Video „Kann KI WM-Spiele tippen?“: 7,7 Mio. Aufrufe im Screenshot</x:v>
      </x:c>
      <x:c r="C16" s="79" t="str">
        <x:v>IMG_2238 / IMG_2239</x:v>
      </x:c>
      <x:c r="D16" s="79" t="str">
        <x:v>Screenshotbeleg; Plattformlink/Datum archivieren</x:v>
      </x:c>
      <x:c r="E16" s="61"/>
      <x:c r="F16" s="61"/>
      <x:c r="G16" s="61"/>
      <x:c r="H16" s="61"/>
      <x:c r="I16" s="61"/>
      <x:c r="J16" s="61"/>
    </x:row>
    <x:row r="17">
      <x:c r="A17" s="79" t="str">
        <x:v>Forschung</x:v>
      </x:c>
      <x:c r="B17" s="79" t="str">
        <x:v>Paper eingereicht und öffentlich archiviert</x:v>
      </x:c>
      <x:c r="C17" s="79" t="str">
        <x:v>URL/Identifier folgt</x:v>
      </x:c>
      <x:c r="D17" s="79" t="str">
        <x:v>Gründerangabe – zu belegen</x:v>
      </x:c>
      <x:c r="E17" s="61"/>
      <x:c r="F17" s="61"/>
      <x:c r="G17" s="61"/>
      <x:c r="H17" s="61"/>
      <x:c r="I17" s="61"/>
      <x:c r="J17" s="61"/>
    </x:row>
  </x:sheetData>
  <x:mergeCells>
    <x:mergeCell ref="A1:J1"/>
    <x:mergeCell ref="A2:J2"/>
  </x:mergeCells>
  <x:pageMargins left="0.7" right="0.7" top="0.75" bottom="0.75" header="0.3" footer="0.3"/>
</x:worksheet>
</file>